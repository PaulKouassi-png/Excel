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D:\Excel training Kenji\"/>
    </mc:Choice>
  </mc:AlternateContent>
  <xr:revisionPtr revIDLastSave="0" documentId="13_ncr:1_{D9D2DE5A-28E9-4F7B-8002-5338FAB541A0}" xr6:coauthVersionLast="47" xr6:coauthVersionMax="47" xr10:uidLastSave="{00000000-0000-0000-0000-000000000000}"/>
  <bookViews>
    <workbookView xWindow="-120" yWindow="-120" windowWidth="20730" windowHeight="11160" firstSheet="3" activeTab="4" xr2:uid="{E8890851-D771-4057-8B0E-2BBFD30B1FB0}"/>
  </bookViews>
  <sheets>
    <sheet name="Data" sheetId="2" r:id="rId1"/>
    <sheet name="Quantity Sold By Region &amp; Year" sheetId="1" r:id="rId2"/>
    <sheet name="Average Price per Region &amp; Year" sheetId="3" r:id="rId3"/>
    <sheet name="Profit By Region" sheetId="4" r:id="rId4"/>
    <sheet name="Pivot Table With Slicer" sheetId="6" r:id="rId5"/>
  </sheets>
  <definedNames>
    <definedName name="Slicer_Region">#N/A</definedName>
    <definedName name="Slicer_Sales_Method">#N/A</definedName>
    <definedName name="Slicer_Year">#N/A</definedName>
  </definedNames>
  <calcPr calcId="191029"/>
  <pivotCaches>
    <pivotCache cacheId="4" r:id="rId6"/>
    <pivotCache cacheId="22"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3" i="2" l="1"/>
  <c r="I103" i="2"/>
  <c r="J102" i="2"/>
  <c r="I102" i="2"/>
  <c r="J101" i="2"/>
  <c r="I101" i="2"/>
  <c r="J100" i="2"/>
  <c r="I100" i="2"/>
  <c r="J99" i="2"/>
  <c r="I99" i="2"/>
  <c r="J98" i="2"/>
  <c r="I98" i="2"/>
  <c r="J97" i="2"/>
  <c r="I97" i="2"/>
  <c r="J96" i="2"/>
  <c r="I96" i="2"/>
  <c r="J95" i="2"/>
  <c r="I95" i="2"/>
  <c r="J94" i="2"/>
  <c r="I94" i="2"/>
  <c r="J93" i="2"/>
  <c r="I93" i="2"/>
  <c r="J92" i="2"/>
  <c r="I92" i="2"/>
  <c r="J91" i="2"/>
  <c r="I91" i="2"/>
  <c r="J90" i="2"/>
  <c r="I90" i="2"/>
  <c r="J89" i="2"/>
  <c r="I89" i="2"/>
  <c r="J88" i="2"/>
  <c r="I88" i="2"/>
  <c r="J87" i="2"/>
  <c r="I87" i="2"/>
  <c r="J86" i="2"/>
  <c r="I86" i="2"/>
  <c r="J85" i="2"/>
  <c r="I85" i="2"/>
  <c r="J84" i="2"/>
  <c r="I84" i="2"/>
  <c r="J83" i="2"/>
  <c r="I83" i="2"/>
  <c r="J82" i="2"/>
  <c r="I82" i="2"/>
  <c r="J81" i="2"/>
  <c r="I81" i="2"/>
  <c r="J80" i="2"/>
  <c r="I80" i="2"/>
  <c r="J79" i="2"/>
  <c r="I79" i="2"/>
  <c r="J78" i="2"/>
  <c r="I78" i="2"/>
  <c r="J77" i="2"/>
  <c r="I77" i="2"/>
  <c r="J76" i="2"/>
  <c r="I76" i="2"/>
  <c r="J75" i="2"/>
  <c r="I75" i="2"/>
  <c r="J74" i="2"/>
  <c r="I74" i="2"/>
  <c r="J73" i="2"/>
  <c r="I73" i="2"/>
  <c r="J72" i="2"/>
  <c r="I72" i="2"/>
  <c r="J71" i="2"/>
  <c r="I71" i="2"/>
  <c r="J70" i="2"/>
  <c r="I70" i="2"/>
  <c r="J69" i="2"/>
  <c r="I69" i="2"/>
  <c r="J68" i="2"/>
  <c r="I68" i="2"/>
  <c r="J67" i="2"/>
  <c r="I67" i="2"/>
  <c r="J66" i="2"/>
  <c r="I66" i="2"/>
  <c r="J65" i="2"/>
  <c r="I65" i="2"/>
  <c r="J64" i="2"/>
  <c r="I64" i="2"/>
  <c r="J63" i="2"/>
  <c r="I63" i="2"/>
  <c r="J62" i="2"/>
  <c r="I62" i="2"/>
  <c r="J61" i="2"/>
  <c r="I61" i="2"/>
  <c r="J60" i="2"/>
  <c r="I60" i="2"/>
  <c r="J59" i="2"/>
  <c r="I59" i="2"/>
  <c r="J58" i="2"/>
  <c r="I58" i="2"/>
  <c r="J57" i="2"/>
  <c r="I57" i="2"/>
  <c r="J56" i="2"/>
  <c r="I56" i="2"/>
  <c r="J55" i="2"/>
  <c r="I55" i="2"/>
  <c r="J54" i="2"/>
  <c r="I54" i="2"/>
  <c r="J53" i="2"/>
  <c r="I53" i="2"/>
  <c r="J52" i="2"/>
  <c r="I52" i="2"/>
  <c r="J51" i="2"/>
  <c r="I51" i="2"/>
  <c r="J50" i="2"/>
  <c r="I50" i="2"/>
  <c r="J49" i="2"/>
  <c r="I49" i="2"/>
  <c r="J48" i="2"/>
  <c r="I48" i="2"/>
  <c r="J47" i="2"/>
  <c r="I47" i="2"/>
  <c r="J46" i="2"/>
  <c r="I46" i="2"/>
  <c r="J45" i="2"/>
  <c r="I45" i="2"/>
  <c r="J44" i="2"/>
  <c r="I44" i="2"/>
  <c r="J43" i="2"/>
  <c r="I43" i="2"/>
  <c r="J42" i="2"/>
  <c r="I42" i="2"/>
  <c r="J41" i="2"/>
  <c r="I41" i="2"/>
  <c r="J40" i="2"/>
  <c r="I40" i="2"/>
  <c r="J39" i="2"/>
  <c r="I39" i="2"/>
  <c r="J38" i="2"/>
  <c r="I38" i="2"/>
  <c r="J37" i="2"/>
  <c r="I37" i="2"/>
  <c r="J36" i="2"/>
  <c r="I36" i="2"/>
  <c r="J35" i="2"/>
  <c r="I35" i="2"/>
  <c r="J34" i="2"/>
  <c r="I34" i="2"/>
  <c r="J33" i="2"/>
  <c r="I33" i="2"/>
  <c r="J32" i="2"/>
  <c r="I32" i="2"/>
  <c r="J31" i="2"/>
  <c r="I31" i="2"/>
  <c r="J30" i="2"/>
  <c r="I30" i="2"/>
  <c r="J29" i="2"/>
  <c r="I29" i="2"/>
  <c r="J28" i="2"/>
  <c r="I28" i="2"/>
  <c r="J27" i="2"/>
  <c r="I27" i="2"/>
  <c r="J26" i="2"/>
  <c r="I26" i="2"/>
  <c r="J25" i="2"/>
  <c r="I25" i="2"/>
  <c r="J24" i="2"/>
  <c r="I24" i="2"/>
  <c r="J23" i="2"/>
  <c r="I23" i="2"/>
  <c r="J22" i="2"/>
  <c r="I22" i="2"/>
  <c r="J21" i="2"/>
  <c r="I21" i="2"/>
  <c r="J20" i="2"/>
  <c r="I20" i="2"/>
  <c r="J19" i="2"/>
  <c r="I19" i="2"/>
  <c r="J18" i="2"/>
  <c r="I18" i="2"/>
  <c r="J17" i="2"/>
  <c r="I17" i="2"/>
  <c r="J16" i="2"/>
  <c r="I16" i="2"/>
  <c r="J15" i="2"/>
  <c r="I15" i="2"/>
  <c r="J14" i="2"/>
  <c r="I14" i="2"/>
  <c r="J13" i="2"/>
  <c r="I13" i="2"/>
  <c r="J12" i="2"/>
  <c r="I12" i="2"/>
  <c r="J11" i="2"/>
  <c r="I11" i="2"/>
  <c r="J10" i="2"/>
  <c r="I10" i="2"/>
  <c r="J9" i="2"/>
  <c r="I9" i="2"/>
  <c r="J8" i="2"/>
  <c r="I8" i="2"/>
  <c r="J7" i="2"/>
  <c r="I7" i="2"/>
  <c r="J6" i="2"/>
  <c r="I6" i="2"/>
  <c r="J5" i="2"/>
  <c r="I5" i="2"/>
  <c r="J4" i="2"/>
  <c r="I4" i="2"/>
</calcChain>
</file>

<file path=xl/sharedStrings.xml><?xml version="1.0" encoding="utf-8"?>
<sst xmlns="http://schemas.openxmlformats.org/spreadsheetml/2006/main" count="370" uniqueCount="35">
  <si>
    <t>Quantity Sold By Region &amp; Year</t>
  </si>
  <si>
    <t>Quantity Sold By Year</t>
  </si>
  <si>
    <t>Years</t>
  </si>
  <si>
    <t>Region</t>
  </si>
  <si>
    <t>Grand Total</t>
  </si>
  <si>
    <t>APAC</t>
  </si>
  <si>
    <t>EMEA</t>
  </si>
  <si>
    <t>Latin America</t>
  </si>
  <si>
    <t>North America</t>
  </si>
  <si>
    <t>2021 Apple Data</t>
  </si>
  <si>
    <t>ID Number</t>
  </si>
  <si>
    <t>Year</t>
  </si>
  <si>
    <t>Product</t>
  </si>
  <si>
    <t>Price per unit</t>
  </si>
  <si>
    <t>Cost per unit</t>
  </si>
  <si>
    <t>Quantity Sold</t>
  </si>
  <si>
    <t>Revenues</t>
  </si>
  <si>
    <t>Expenses</t>
  </si>
  <si>
    <t>Sales Method</t>
  </si>
  <si>
    <t>iphone</t>
  </si>
  <si>
    <t>In-store</t>
  </si>
  <si>
    <t>Third Party</t>
  </si>
  <si>
    <t>macbook</t>
  </si>
  <si>
    <t>Online Store</t>
  </si>
  <si>
    <t>ipad</t>
  </si>
  <si>
    <t>Referral</t>
  </si>
  <si>
    <t>iwatch</t>
  </si>
  <si>
    <t>airpod</t>
  </si>
  <si>
    <t>Average of Price per unit</t>
  </si>
  <si>
    <t>Average price by Region &amp; Year</t>
  </si>
  <si>
    <t xml:space="preserve"> Revenues</t>
  </si>
  <si>
    <t xml:space="preserve"> Expenses</t>
  </si>
  <si>
    <t xml:space="preserve"> Profit</t>
  </si>
  <si>
    <t>Revenue, Expenses, Profit By Region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</si>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</sst>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 #,##0_-;_-* &quot;-&quot;??_-;_-@"/>
    <numFmt numFmtId="165" formatCode="#,##0;\(#,##0\)"/>
  </numFmts>
  <fonts count="10" x14ac:knownFonts="1">
    <font>
      <sz val="12"/>
      <color theme="1"/>
      <name val="Calibri"/>
      <family val="2"/>
      <scheme val="minor"/>
    </font>
    <font>
      <sz val="12"/>
      <color theme="1"/>
      <name val="Calibri"/>
      <family val="2"/>
      <scheme val="minor"/>
    </font>
    <font>
      <b/>
      <sz val="12"/>
      <color theme="0"/>
      <name val="Calibri"/>
      <family val="2"/>
      <scheme val="minor"/>
    </font>
    <font>
      <b/>
      <sz val="12"/>
      <color theme="1"/>
      <name val="Calibri"/>
      <family val="2"/>
    </font>
    <font>
      <b/>
      <sz val="12"/>
      <color theme="0"/>
      <name val="Calibri"/>
      <family val="2"/>
    </font>
    <font>
      <sz val="12"/>
      <name val="Calibri"/>
      <family val="2"/>
    </font>
    <font>
      <sz val="12"/>
      <color theme="1"/>
      <name val="Calibri"/>
      <family val="2"/>
    </font>
    <font>
      <sz val="12"/>
      <color rgb="FF000000"/>
      <name val="Calibri"/>
      <family val="2"/>
    </font>
    <font>
      <sz val="16"/>
      <color rgb="FF000000"/>
      <name val="Roboto"/>
    </font>
    <font>
      <sz val="12"/>
      <color theme="0"/>
      <name val="Calibri"/>
      <family val="2"/>
      <scheme val="minor"/>
    </font>
  </fonts>
  <fills count="4">
    <fill>
      <patternFill patternType="none"/>
    </fill>
    <fill>
      <patternFill patternType="gray125"/>
    </fill>
    <fill>
      <patternFill patternType="solid">
        <fgColor rgb="FF002060"/>
        <bgColor indexed="64"/>
      </patternFill>
    </fill>
    <fill>
      <patternFill patternType="solid">
        <fgColor rgb="FF293D68"/>
        <bgColor rgb="FF293D68"/>
      </patternFill>
    </fill>
  </fills>
  <borders count="3">
    <border>
      <left/>
      <right/>
      <top/>
      <bottom/>
      <diagonal/>
    </border>
    <border>
      <left style="thin">
        <color rgb="FF000000"/>
      </left>
      <right/>
      <top/>
      <bottom/>
      <diagonal/>
    </border>
    <border>
      <left/>
      <right/>
      <top/>
      <bottom style="thin">
        <color rgb="FF000000"/>
      </bottom>
      <diagonal/>
    </border>
  </borders>
  <cellStyleXfs count="1">
    <xf numFmtId="0" fontId="0" fillId="0" borderId="0"/>
  </cellStyleXfs>
  <cellXfs count="27">
    <xf numFmtId="0" fontId="0" fillId="0" borderId="0" xfId="0"/>
    <xf numFmtId="0" fontId="2" fillId="2" borderId="0" xfId="0" applyFont="1" applyFill="1" applyAlignment="1">
      <alignment horizontal="center"/>
    </xf>
    <xf numFmtId="0" fontId="0" fillId="0" borderId="0" xfId="0" applyAlignment="1">
      <alignment horizontal="center"/>
    </xf>
    <xf numFmtId="0" fontId="0" fillId="0" borderId="0" xfId="0" applyAlignment="1">
      <alignment horizontal="left"/>
    </xf>
    <xf numFmtId="1" fontId="0" fillId="0" borderId="0" xfId="0" applyNumberFormat="1" applyAlignment="1">
      <alignment horizontal="center"/>
    </xf>
    <xf numFmtId="1" fontId="0" fillId="0" borderId="0" xfId="0" applyNumberFormat="1"/>
    <xf numFmtId="0" fontId="3" fillId="0" borderId="0" xfId="0" applyFont="1"/>
    <xf numFmtId="0" fontId="4" fillId="3" borderId="1" xfId="0" applyFont="1" applyFill="1" applyBorder="1" applyAlignment="1">
      <alignment horizontal="center"/>
    </xf>
    <xf numFmtId="0" fontId="5" fillId="0" borderId="0" xfId="0" applyFont="1"/>
    <xf numFmtId="0" fontId="6" fillId="0" borderId="0" xfId="0" applyFont="1" applyAlignment="1">
      <alignment horizontal="center"/>
    </xf>
    <xf numFmtId="0" fontId="3" fillId="0" borderId="2" xfId="0" applyFont="1" applyBorder="1" applyAlignment="1">
      <alignment horizontal="center"/>
    </xf>
    <xf numFmtId="0" fontId="1" fillId="0" borderId="0" xfId="0" applyFont="1"/>
    <xf numFmtId="165" fontId="6" fillId="0" borderId="0" xfId="0" applyNumberFormat="1" applyFont="1" applyAlignment="1">
      <alignment horizontal="right"/>
    </xf>
    <xf numFmtId="164" fontId="6" fillId="0" borderId="0" xfId="0" applyNumberFormat="1" applyFont="1"/>
    <xf numFmtId="1" fontId="6" fillId="0" borderId="0" xfId="0" applyNumberFormat="1" applyFont="1"/>
    <xf numFmtId="0" fontId="7" fillId="0" borderId="0" xfId="0" applyFont="1"/>
    <xf numFmtId="0" fontId="8" fillId="0" borderId="0" xfId="0" applyFont="1"/>
    <xf numFmtId="0" fontId="0" fillId="0" borderId="0" xfId="0" pivotButton="1"/>
    <xf numFmtId="2" fontId="0" fillId="0" borderId="0" xfId="0" applyNumberFormat="1"/>
    <xf numFmtId="0" fontId="0" fillId="0" borderId="0" xfId="0" pivotButton="1" applyAlignment="1">
      <alignment horizontal="center"/>
    </xf>
    <xf numFmtId="2" fontId="0" fillId="0" borderId="0" xfId="0" applyNumberFormat="1" applyAlignment="1">
      <alignment horizontal="center"/>
    </xf>
    <xf numFmtId="164" fontId="0" fillId="0" borderId="0" xfId="0" applyNumberFormat="1"/>
    <xf numFmtId="164" fontId="0" fillId="0" borderId="0" xfId="0" applyNumberFormat="1" applyAlignment="1">
      <alignment horizontal="center"/>
    </xf>
    <xf numFmtId="164" fontId="0" fillId="0" borderId="0" xfId="0" applyNumberFormat="1" applyAlignment="1"/>
    <xf numFmtId="0" fontId="0" fillId="0" borderId="0" xfId="0" pivotButton="1" applyAlignment="1">
      <alignment horizontal="left"/>
    </xf>
    <xf numFmtId="0" fontId="9" fillId="2" borderId="0" xfId="0" applyFont="1" applyFill="1" applyAlignment="1">
      <alignment horizontal="center"/>
    </xf>
    <xf numFmtId="0" fontId="0" fillId="0" borderId="0" xfId="0" applyAlignment="1">
      <alignment horizontal="left" indent="1"/>
    </xf>
  </cellXfs>
  <cellStyles count="1">
    <cellStyle name="Normal" xfId="0" builtinId="0"/>
  </cellStyles>
  <dxfs count="43">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general"/>
    </dxf>
    <dxf>
      <alignment horizontal="left"/>
    </dxf>
    <dxf>
      <alignment horizontal="center"/>
    </dxf>
    <dxf>
      <alignment horizontal="center"/>
    </dxf>
    <dxf>
      <alignment horizontal="center"/>
    </dxf>
    <dxf>
      <alignment horizontal="general"/>
    </dxf>
    <dxf>
      <alignment horizontal="left"/>
    </dxf>
    <dxf>
      <alignment horizontal="center"/>
    </dxf>
    <dxf>
      <alignment horizontal="center"/>
    </dxf>
    <dxf>
      <alignment horizontal="center"/>
    </dxf>
    <dxf>
      <alignment horizontal="general"/>
    </dxf>
    <dxf>
      <alignment horizontal="left"/>
    </dxf>
    <dxf>
      <alignment horizontal="center"/>
    </dxf>
    <dxf>
      <alignment horizontal="left"/>
    </dxf>
    <dxf>
      <alignment horizontal="center"/>
    </dxf>
    <dxf>
      <alignment horizontal="center"/>
    </dxf>
    <dxf>
      <alignment horizontal="center"/>
    </dxf>
    <dxf>
      <alignment horizontal="general"/>
    </dxf>
    <dxf>
      <alignment horizontal="general"/>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[PivotTables.xlsx]Quantity Sold By Region &amp; Year!PivotTable1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'Quantity Sold By Region &amp; Year'!$B$5:$B$6</c:f>
              <c:strCache>
                <c:ptCount val="1"/>
                <c:pt idx="0">
                  <c:v>2019</c:v>
                </c:pt>
              </c:strCache>
            </c:strRef>
          </c:tx>
          <c:spPr>
            <a:solidFill>
              <a:schemeClr val="accent1"/>
            </a:solidFill>
            <a:ln>
              <a:noFill/>
            </a:ln>
            <a:effectLst/>
          </c:spPr>
          <c:invertIfNegative val="0"/>
          <c:cat>
            <c:strRef>
              <c:f>'Quantity Sold By Region &amp; Year'!$A$7:$A$11</c:f>
              <c:strCache>
                <c:ptCount val="4"/>
                <c:pt idx="0">
                  <c:v>APAC</c:v>
                </c:pt>
                <c:pt idx="1">
                  <c:v>EMEA</c:v>
                </c:pt>
                <c:pt idx="2">
                  <c:v>Latin America</c:v>
                </c:pt>
                <c:pt idx="3">
                  <c:v>North America</c:v>
                </c:pt>
              </c:strCache>
            </c:strRef>
          </c:cat>
          <c:val>
            <c:numRef>
              <c:f>'Quantity Sold By Region &amp; Year'!$B$7:$B$11</c:f>
              <c:numCache>
                <c:formatCode>0</c:formatCode>
                <c:ptCount val="4"/>
                <c:pt idx="0">
                  <c:v>3416.6000000000008</c:v>
                </c:pt>
                <c:pt idx="1">
                  <c:v>1688.3</c:v>
                </c:pt>
                <c:pt idx="2">
                  <c:v>2052.2000000000003</c:v>
                </c:pt>
                <c:pt idx="3">
                  <c:v>2330.2000000000003</c:v>
                </c:pt>
              </c:numCache>
            </c:numRef>
          </c:val>
          <c:extLst>
            <c:ext xmlns:c16="http://schemas.microsoft.com/office/drawing/2014/chart" uri="{C3380CC4-5D6E-409C-BE32-E72D297353CC}">
              <c16:uniqueId val="{00000000-B3B3-4170-A223-0275965113B4}"/>
            </c:ext>
          </c:extLst>
        </c:ser>
        <c:ser>
          <c:idx val="1"/>
          <c:order val="1"/>
          <c:tx>
            <c:strRef>
              <c:f>'Quantity Sold By Region &amp; Year'!$C$5:$C$6</c:f>
              <c:strCache>
                <c:ptCount val="1"/>
                <c:pt idx="0">
                  <c:v>2020</c:v>
                </c:pt>
              </c:strCache>
            </c:strRef>
          </c:tx>
          <c:spPr>
            <a:solidFill>
              <a:schemeClr val="accent2"/>
            </a:solidFill>
            <a:ln>
              <a:noFill/>
            </a:ln>
            <a:effectLst/>
          </c:spPr>
          <c:invertIfNegative val="0"/>
          <c:cat>
            <c:strRef>
              <c:f>'Quantity Sold By Region &amp; Year'!$A$7:$A$11</c:f>
              <c:strCache>
                <c:ptCount val="4"/>
                <c:pt idx="0">
                  <c:v>APAC</c:v>
                </c:pt>
                <c:pt idx="1">
                  <c:v>EMEA</c:v>
                </c:pt>
                <c:pt idx="2">
                  <c:v>Latin America</c:v>
                </c:pt>
                <c:pt idx="3">
                  <c:v>North America</c:v>
                </c:pt>
              </c:strCache>
            </c:strRef>
          </c:cat>
          <c:val>
            <c:numRef>
              <c:f>'Quantity Sold By Region &amp; Year'!$C$7:$C$11</c:f>
              <c:numCache>
                <c:formatCode>0</c:formatCode>
                <c:ptCount val="4"/>
                <c:pt idx="0">
                  <c:v>3549.7000000000012</c:v>
                </c:pt>
                <c:pt idx="2">
                  <c:v>3168.6000000000008</c:v>
                </c:pt>
                <c:pt idx="3">
                  <c:v>2198.4</c:v>
                </c:pt>
              </c:numCache>
            </c:numRef>
          </c:val>
          <c:extLst>
            <c:ext xmlns:c16="http://schemas.microsoft.com/office/drawing/2014/chart" uri="{C3380CC4-5D6E-409C-BE32-E72D297353CC}">
              <c16:uniqueId val="{00000001-B3B3-4170-A223-0275965113B4}"/>
            </c:ext>
          </c:extLst>
        </c:ser>
        <c:ser>
          <c:idx val="2"/>
          <c:order val="2"/>
          <c:tx>
            <c:strRef>
              <c:f>'Quantity Sold By Region &amp; Year'!$D$5:$D$6</c:f>
              <c:strCache>
                <c:ptCount val="1"/>
                <c:pt idx="0">
                  <c:v>2021</c:v>
                </c:pt>
              </c:strCache>
            </c:strRef>
          </c:tx>
          <c:spPr>
            <a:solidFill>
              <a:schemeClr val="accent3"/>
            </a:solidFill>
            <a:ln>
              <a:noFill/>
            </a:ln>
            <a:effectLst/>
          </c:spPr>
          <c:invertIfNegative val="0"/>
          <c:cat>
            <c:strRef>
              <c:f>'Quantity Sold By Region &amp; Year'!$A$7:$A$11</c:f>
              <c:strCache>
                <c:ptCount val="4"/>
                <c:pt idx="0">
                  <c:v>APAC</c:v>
                </c:pt>
                <c:pt idx="1">
                  <c:v>EMEA</c:v>
                </c:pt>
                <c:pt idx="2">
                  <c:v>Latin America</c:v>
                </c:pt>
                <c:pt idx="3">
                  <c:v>North America</c:v>
                </c:pt>
              </c:strCache>
            </c:strRef>
          </c:cat>
          <c:val>
            <c:numRef>
              <c:f>'Quantity Sold By Region &amp; Year'!$D$7:$D$11</c:f>
              <c:numCache>
                <c:formatCode>0</c:formatCode>
                <c:ptCount val="4"/>
                <c:pt idx="0">
                  <c:v>1699.2</c:v>
                </c:pt>
                <c:pt idx="1">
                  <c:v>2161.5</c:v>
                </c:pt>
                <c:pt idx="2">
                  <c:v>2441.6000000000004</c:v>
                </c:pt>
                <c:pt idx="3">
                  <c:v>2611.2000000000003</c:v>
                </c:pt>
              </c:numCache>
            </c:numRef>
          </c:val>
          <c:extLst>
            <c:ext xmlns:c16="http://schemas.microsoft.com/office/drawing/2014/chart" uri="{C3380CC4-5D6E-409C-BE32-E72D297353CC}">
              <c16:uniqueId val="{00000002-B3B3-4170-A223-0275965113B4}"/>
            </c:ext>
          </c:extLst>
        </c:ser>
        <c:dLbls>
          <c:showLegendKey val="0"/>
          <c:showVal val="0"/>
          <c:showCatName val="0"/>
          <c:showSerName val="0"/>
          <c:showPercent val="0"/>
          <c:showBubbleSize val="0"/>
        </c:dLbls>
        <c:gapWidth val="219"/>
        <c:overlap val="-27"/>
        <c:axId val="770429088"/>
        <c:axId val="770429448"/>
      </c:barChart>
      <c:catAx>
        <c:axId val="77042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429448"/>
        <c:crosses val="autoZero"/>
        <c:auto val="1"/>
        <c:lblAlgn val="ctr"/>
        <c:lblOffset val="100"/>
        <c:noMultiLvlLbl val="0"/>
      </c:catAx>
      <c:valAx>
        <c:axId val="7704294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42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[PivotTables.xlsx]Average Price per Region &amp; Year!PivotTable2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Price per Region &amp; Year'!$B$2:$B$3</c:f>
              <c:strCache>
                <c:ptCount val="1"/>
                <c:pt idx="0">
                  <c:v>2019</c:v>
                </c:pt>
              </c:strCache>
            </c:strRef>
          </c:tx>
          <c:spPr>
            <a:solidFill>
              <a:schemeClr val="accent1"/>
            </a:solidFill>
            <a:ln>
              <a:noFill/>
            </a:ln>
            <a:effectLst/>
          </c:spPr>
          <c:invertIfNegative val="0"/>
          <c:cat>
            <c:strRef>
              <c:f>'Average Price per Region &amp; Year'!$A$4:$A$8</c:f>
              <c:strCache>
                <c:ptCount val="4"/>
                <c:pt idx="0">
                  <c:v>APAC</c:v>
                </c:pt>
                <c:pt idx="1">
                  <c:v>EMEA</c:v>
                </c:pt>
                <c:pt idx="2">
                  <c:v>Latin America</c:v>
                </c:pt>
                <c:pt idx="3">
                  <c:v>North America</c:v>
                </c:pt>
              </c:strCache>
            </c:strRef>
          </c:cat>
          <c:val>
            <c:numRef>
              <c:f>'Average Price per Region &amp; Year'!$B$4:$B$8</c:f>
              <c:numCache>
                <c:formatCode>0.00</c:formatCode>
                <c:ptCount val="4"/>
                <c:pt idx="0">
                  <c:v>985.36363636363637</c:v>
                </c:pt>
                <c:pt idx="1">
                  <c:v>842.75</c:v>
                </c:pt>
                <c:pt idx="2">
                  <c:v>557.33333333333337</c:v>
                </c:pt>
                <c:pt idx="3">
                  <c:v>830.25</c:v>
                </c:pt>
              </c:numCache>
            </c:numRef>
          </c:val>
          <c:extLst>
            <c:ext xmlns:c16="http://schemas.microsoft.com/office/drawing/2014/chart" uri="{C3380CC4-5D6E-409C-BE32-E72D297353CC}">
              <c16:uniqueId val="{00000000-197D-4B66-9374-DA34276BE842}"/>
            </c:ext>
          </c:extLst>
        </c:ser>
        <c:ser>
          <c:idx val="1"/>
          <c:order val="1"/>
          <c:tx>
            <c:strRef>
              <c:f>'Average Price per Region &amp; Year'!$C$2:$C$3</c:f>
              <c:strCache>
                <c:ptCount val="1"/>
                <c:pt idx="0">
                  <c:v>2020</c:v>
                </c:pt>
              </c:strCache>
            </c:strRef>
          </c:tx>
          <c:spPr>
            <a:solidFill>
              <a:schemeClr val="accent2"/>
            </a:solidFill>
            <a:ln>
              <a:noFill/>
            </a:ln>
            <a:effectLst/>
          </c:spPr>
          <c:invertIfNegative val="0"/>
          <c:cat>
            <c:strRef>
              <c:f>'Average Price per Region &amp; Year'!$A$4:$A$8</c:f>
              <c:strCache>
                <c:ptCount val="4"/>
                <c:pt idx="0">
                  <c:v>APAC</c:v>
                </c:pt>
                <c:pt idx="1">
                  <c:v>EMEA</c:v>
                </c:pt>
                <c:pt idx="2">
                  <c:v>Latin America</c:v>
                </c:pt>
                <c:pt idx="3">
                  <c:v>North America</c:v>
                </c:pt>
              </c:strCache>
            </c:strRef>
          </c:cat>
          <c:val>
            <c:numRef>
              <c:f>'Average Price per Region &amp; Year'!$C$4:$C$8</c:f>
              <c:numCache>
                <c:formatCode>0.00</c:formatCode>
                <c:ptCount val="4"/>
                <c:pt idx="0">
                  <c:v>799</c:v>
                </c:pt>
                <c:pt idx="2">
                  <c:v>790.66666666666663</c:v>
                </c:pt>
                <c:pt idx="3">
                  <c:v>394</c:v>
                </c:pt>
              </c:numCache>
            </c:numRef>
          </c:val>
          <c:extLst>
            <c:ext xmlns:c16="http://schemas.microsoft.com/office/drawing/2014/chart" uri="{C3380CC4-5D6E-409C-BE32-E72D297353CC}">
              <c16:uniqueId val="{00000001-197D-4B66-9374-DA34276BE842}"/>
            </c:ext>
          </c:extLst>
        </c:ser>
        <c:ser>
          <c:idx val="2"/>
          <c:order val="2"/>
          <c:tx>
            <c:strRef>
              <c:f>'Average Price per Region &amp; Year'!$D$2:$D$3</c:f>
              <c:strCache>
                <c:ptCount val="1"/>
                <c:pt idx="0">
                  <c:v>2021</c:v>
                </c:pt>
              </c:strCache>
            </c:strRef>
          </c:tx>
          <c:spPr>
            <a:solidFill>
              <a:schemeClr val="accent3"/>
            </a:solidFill>
            <a:ln>
              <a:noFill/>
            </a:ln>
            <a:effectLst/>
          </c:spPr>
          <c:invertIfNegative val="0"/>
          <c:cat>
            <c:strRef>
              <c:f>'Average Price per Region &amp; Year'!$A$4:$A$8</c:f>
              <c:strCache>
                <c:ptCount val="4"/>
                <c:pt idx="0">
                  <c:v>APAC</c:v>
                </c:pt>
                <c:pt idx="1">
                  <c:v>EMEA</c:v>
                </c:pt>
                <c:pt idx="2">
                  <c:v>Latin America</c:v>
                </c:pt>
                <c:pt idx="3">
                  <c:v>North America</c:v>
                </c:pt>
              </c:strCache>
            </c:strRef>
          </c:cat>
          <c:val>
            <c:numRef>
              <c:f>'Average Price per Region &amp; Year'!$D$4:$D$8</c:f>
              <c:numCache>
                <c:formatCode>0.00</c:formatCode>
                <c:ptCount val="4"/>
                <c:pt idx="0">
                  <c:v>682.33333333333337</c:v>
                </c:pt>
                <c:pt idx="1">
                  <c:v>609</c:v>
                </c:pt>
                <c:pt idx="2">
                  <c:v>493.44444444444446</c:v>
                </c:pt>
                <c:pt idx="3">
                  <c:v>592.75</c:v>
                </c:pt>
              </c:numCache>
            </c:numRef>
          </c:val>
          <c:extLst>
            <c:ext xmlns:c16="http://schemas.microsoft.com/office/drawing/2014/chart" uri="{C3380CC4-5D6E-409C-BE32-E72D297353CC}">
              <c16:uniqueId val="{00000002-197D-4B66-9374-DA34276BE842}"/>
            </c:ext>
          </c:extLst>
        </c:ser>
        <c:dLbls>
          <c:showLegendKey val="0"/>
          <c:showVal val="0"/>
          <c:showCatName val="0"/>
          <c:showSerName val="0"/>
          <c:showPercent val="0"/>
          <c:showBubbleSize val="0"/>
        </c:dLbls>
        <c:gapWidth val="219"/>
        <c:overlap val="-27"/>
        <c:axId val="1007991784"/>
        <c:axId val="1007989984"/>
      </c:barChart>
      <c:catAx>
        <c:axId val="1007991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989984"/>
        <c:crosses val="autoZero"/>
        <c:auto val="1"/>
        <c:lblAlgn val="ctr"/>
        <c:lblOffset val="100"/>
        <c:noMultiLvlLbl val="0"/>
      </c:catAx>
      <c:valAx>
        <c:axId val="100798998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991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[PivotTables.xlsx]Profit By Region!PivotTable3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Region'!$B$2</c:f>
              <c:strCache>
                <c:ptCount val="1"/>
                <c:pt idx="0">
                  <c:v> Revenues</c:v>
                </c:pt>
              </c:strCache>
            </c:strRef>
          </c:tx>
          <c:spPr>
            <a:solidFill>
              <a:schemeClr val="accent1"/>
            </a:solidFill>
            <a:ln>
              <a:noFill/>
            </a:ln>
            <a:effectLst/>
          </c:spPr>
          <c:invertIfNegative val="0"/>
          <c:cat>
            <c:strRef>
              <c:f>'Profit By Region'!$A$3:$A$7</c:f>
              <c:strCache>
                <c:ptCount val="4"/>
                <c:pt idx="0">
                  <c:v>APAC</c:v>
                </c:pt>
                <c:pt idx="1">
                  <c:v>EMEA</c:v>
                </c:pt>
                <c:pt idx="2">
                  <c:v>Latin America</c:v>
                </c:pt>
                <c:pt idx="3">
                  <c:v>North America</c:v>
                </c:pt>
              </c:strCache>
            </c:strRef>
          </c:cat>
          <c:val>
            <c:numRef>
              <c:f>'Profit By Region'!$B$3:$B$7</c:f>
              <c:numCache>
                <c:formatCode>_-* #,##0_-;\-* #,##0_-;_-* "-"??_-;_-@</c:formatCode>
                <c:ptCount val="4"/>
                <c:pt idx="0">
                  <c:v>7370734.5000000009</c:v>
                </c:pt>
                <c:pt idx="1">
                  <c:v>2431805.2000000002</c:v>
                </c:pt>
                <c:pt idx="2">
                  <c:v>4469492.6000000006</c:v>
                </c:pt>
                <c:pt idx="3">
                  <c:v>3919300.2000000007</c:v>
                </c:pt>
              </c:numCache>
            </c:numRef>
          </c:val>
          <c:extLst>
            <c:ext xmlns:c16="http://schemas.microsoft.com/office/drawing/2014/chart" uri="{C3380CC4-5D6E-409C-BE32-E72D297353CC}">
              <c16:uniqueId val="{00000000-81BA-45FD-86CF-65917E3A5A33}"/>
            </c:ext>
          </c:extLst>
        </c:ser>
        <c:ser>
          <c:idx val="1"/>
          <c:order val="1"/>
          <c:tx>
            <c:strRef>
              <c:f>'Profit By Region'!$C$2</c:f>
              <c:strCache>
                <c:ptCount val="1"/>
                <c:pt idx="0">
                  <c:v> Expenses</c:v>
                </c:pt>
              </c:strCache>
            </c:strRef>
          </c:tx>
          <c:spPr>
            <a:solidFill>
              <a:schemeClr val="accent2"/>
            </a:solidFill>
            <a:ln>
              <a:noFill/>
            </a:ln>
            <a:effectLst/>
          </c:spPr>
          <c:invertIfNegative val="0"/>
          <c:cat>
            <c:strRef>
              <c:f>'Profit By Region'!$A$3:$A$7</c:f>
              <c:strCache>
                <c:ptCount val="4"/>
                <c:pt idx="0">
                  <c:v>APAC</c:v>
                </c:pt>
                <c:pt idx="1">
                  <c:v>EMEA</c:v>
                </c:pt>
                <c:pt idx="2">
                  <c:v>Latin America</c:v>
                </c:pt>
                <c:pt idx="3">
                  <c:v>North America</c:v>
                </c:pt>
              </c:strCache>
            </c:strRef>
          </c:cat>
          <c:val>
            <c:numRef>
              <c:f>'Profit By Region'!$C$3:$C$7</c:f>
              <c:numCache>
                <c:formatCode>_-* #,##0_-;\-* #,##0_-;_-* "-"??_-;_-@</c:formatCode>
                <c:ptCount val="4"/>
                <c:pt idx="0">
                  <c:v>2558429.5000000005</c:v>
                </c:pt>
                <c:pt idx="1">
                  <c:v>751190.2</c:v>
                </c:pt>
                <c:pt idx="2">
                  <c:v>1526569.6</c:v>
                </c:pt>
                <c:pt idx="3">
                  <c:v>1251784.2</c:v>
                </c:pt>
              </c:numCache>
            </c:numRef>
          </c:val>
          <c:extLst>
            <c:ext xmlns:c16="http://schemas.microsoft.com/office/drawing/2014/chart" uri="{C3380CC4-5D6E-409C-BE32-E72D297353CC}">
              <c16:uniqueId val="{00000001-81BA-45FD-86CF-65917E3A5A33}"/>
            </c:ext>
          </c:extLst>
        </c:ser>
        <c:ser>
          <c:idx val="2"/>
          <c:order val="2"/>
          <c:tx>
            <c:strRef>
              <c:f>'Profit By Region'!$D$2</c:f>
              <c:strCache>
                <c:ptCount val="1"/>
                <c:pt idx="0">
                  <c:v> Profit</c:v>
                </c:pt>
              </c:strCache>
            </c:strRef>
          </c:tx>
          <c:spPr>
            <a:solidFill>
              <a:schemeClr val="accent3"/>
            </a:solidFill>
            <a:ln>
              <a:noFill/>
            </a:ln>
            <a:effectLst/>
          </c:spPr>
          <c:invertIfNegative val="0"/>
          <c:cat>
            <c:strRef>
              <c:f>'Profit By Region'!$A$3:$A$7</c:f>
              <c:strCache>
                <c:ptCount val="4"/>
                <c:pt idx="0">
                  <c:v>APAC</c:v>
                </c:pt>
                <c:pt idx="1">
                  <c:v>EMEA</c:v>
                </c:pt>
                <c:pt idx="2">
                  <c:v>Latin America</c:v>
                </c:pt>
                <c:pt idx="3">
                  <c:v>North America</c:v>
                </c:pt>
              </c:strCache>
            </c:strRef>
          </c:cat>
          <c:val>
            <c:numRef>
              <c:f>'Profit By Region'!$D$3:$D$7</c:f>
              <c:numCache>
                <c:formatCode>_-* #,##0_-;\-* #,##0_-;_-* "-"??_-;_-@</c:formatCode>
                <c:ptCount val="4"/>
                <c:pt idx="0">
                  <c:v>4812305</c:v>
                </c:pt>
                <c:pt idx="1">
                  <c:v>1680615.0000000002</c:v>
                </c:pt>
                <c:pt idx="2">
                  <c:v>2942923.0000000005</c:v>
                </c:pt>
                <c:pt idx="3">
                  <c:v>2667516.0000000009</c:v>
                </c:pt>
              </c:numCache>
            </c:numRef>
          </c:val>
          <c:extLst>
            <c:ext xmlns:c16="http://schemas.microsoft.com/office/drawing/2014/chart" uri="{C3380CC4-5D6E-409C-BE32-E72D297353CC}">
              <c16:uniqueId val="{00000002-81BA-45FD-86CF-65917E3A5A33}"/>
            </c:ext>
          </c:extLst>
        </c:ser>
        <c:dLbls>
          <c:showLegendKey val="0"/>
          <c:showVal val="0"/>
          <c:showCatName val="0"/>
          <c:showSerName val="0"/>
          <c:showPercent val="0"/>
          <c:showBubbleSize val="0"/>
        </c:dLbls>
        <c:gapWidth val="219"/>
        <c:overlap val="-27"/>
        <c:axId val="1149310760"/>
        <c:axId val="1149313280"/>
      </c:barChart>
      <c:catAx>
        <c:axId val="1149310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313280"/>
        <c:crosses val="autoZero"/>
        <c:auto val="1"/>
        <c:lblAlgn val="ctr"/>
        <c:lblOffset val="100"/>
        <c:noMultiLvlLbl val="0"/>
      </c:catAx>
      <c:valAx>
        <c:axId val="1149313280"/>
        <c:scaling>
          <c:orientation val="minMax"/>
        </c:scaling>
        <c:delete val="0"/>
        <c:axPos val="l"/>
        <c:numFmt formatCode="_-* #,##0_-;\-* #,##0_-;_-* &quot;-&quot;??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310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6</xdr:col>
      <xdr:colOff>23811</xdr:colOff>
      <xdr:row>4</xdr:row>
      <xdr:rowOff>95250</xdr:rowOff>
    </xdr:from>
    <xdr:to>
      <xdr:col>13</xdr:col>
      <xdr:colOff>9524</xdr:colOff>
      <xdr:row>18</xdr:row>
      <xdr:rowOff>38100</xdr:rowOff>
    </xdr:to>
    <xdr:graphicFrame macro="">
      <xdr:nvGraphicFramePr>
        <xdr:cNvPr id="2" name="Chart 1">
          <a:extLst>
            <a:ext uri="{FF2B5EF4-FFF2-40B4-BE49-F238E27FC236}">
              <a16:creationId xmlns:a16="http://schemas.microsoft.com/office/drawing/2014/main" id="{5BA062C2-D1AB-44E1-9633-A295C1A171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4761</xdr:colOff>
      <xdr:row>2</xdr:row>
      <xdr:rowOff>95250</xdr:rowOff>
    </xdr:from>
    <xdr:to>
      <xdr:col>13</xdr:col>
      <xdr:colOff>9524</xdr:colOff>
      <xdr:row>16</xdr:row>
      <xdr:rowOff>38100</xdr:rowOff>
    </xdr:to>
    <xdr:graphicFrame macro="">
      <xdr:nvGraphicFramePr>
        <xdr:cNvPr id="2" name="Chart 1">
          <a:extLst>
            <a:ext uri="{FF2B5EF4-FFF2-40B4-BE49-F238E27FC236}">
              <a16:creationId xmlns:a16="http://schemas.microsoft.com/office/drawing/2014/main" id="{ADB11DE2-BFE7-C876-FCE7-AAFA0281DF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666749</xdr:colOff>
      <xdr:row>2</xdr:row>
      <xdr:rowOff>38100</xdr:rowOff>
    </xdr:from>
    <xdr:to>
      <xdr:col>11</xdr:col>
      <xdr:colOff>676274</xdr:colOff>
      <xdr:row>15</xdr:row>
      <xdr:rowOff>180975</xdr:rowOff>
    </xdr:to>
    <xdr:graphicFrame macro="">
      <xdr:nvGraphicFramePr>
        <xdr:cNvPr id="5" name="Chart 4">
          <a:extLst>
            <a:ext uri="{FF2B5EF4-FFF2-40B4-BE49-F238E27FC236}">
              <a16:creationId xmlns:a16="http://schemas.microsoft.com/office/drawing/2014/main" id="{343E27B1-7AF8-0B37-0051-C137C974CB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1009650</xdr:colOff>
      <xdr:row>0</xdr:row>
      <xdr:rowOff>114300</xdr:rowOff>
    </xdr:from>
    <xdr:to>
      <xdr:col>8</xdr:col>
      <xdr:colOff>1076325</xdr:colOff>
      <xdr:row>6</xdr:row>
      <xdr:rowOff>142875</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89F58BF9-C721-0396-F698-165A52EB478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581525" y="114300"/>
              <a:ext cx="1828800" cy="1228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1009650</xdr:colOff>
      <xdr:row>7</xdr:row>
      <xdr:rowOff>9525</xdr:rowOff>
    </xdr:from>
    <xdr:to>
      <xdr:col>8</xdr:col>
      <xdr:colOff>1076325</xdr:colOff>
      <xdr:row>14</xdr:row>
      <xdr:rowOff>133350</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CDC50D5A-6320-E99A-57F6-B0D7E8D2FBC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581525" y="1409700"/>
              <a:ext cx="18288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1000125</xdr:colOff>
      <xdr:row>15</xdr:row>
      <xdr:rowOff>9525</xdr:rowOff>
    </xdr:from>
    <xdr:to>
      <xdr:col>8</xdr:col>
      <xdr:colOff>1066800</xdr:colOff>
      <xdr:row>22</xdr:row>
      <xdr:rowOff>95250</xdr:rowOff>
    </xdr:to>
    <mc:AlternateContent xmlns:mc="http://schemas.openxmlformats.org/markup-compatibility/2006">
      <mc:Choice xmlns:a14="http://schemas.microsoft.com/office/drawing/2010/main" Requires="a14">
        <xdr:graphicFrame macro="">
          <xdr:nvGraphicFramePr>
            <xdr:cNvPr id="4" name="Sales Method">
              <a:extLst>
                <a:ext uri="{FF2B5EF4-FFF2-40B4-BE49-F238E27FC236}">
                  <a16:creationId xmlns:a16="http://schemas.microsoft.com/office/drawing/2014/main" id="{9F0AB62D-6ED1-F767-E50D-F01855F8194D}"/>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dr:sp macro="" textlink="">
          <xdr:nvSpPr>
            <xdr:cNvPr id="0" name=""/>
            <xdr:cNvSpPr>
              <a:spLocks noTextEdit="1"/>
            </xdr:cNvSpPr>
          </xdr:nvSpPr>
          <xdr:spPr>
            <a:xfrm>
              <a:off x="4572000" y="3009900"/>
              <a:ext cx="1828800" cy="148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HP\Downloads\Start%20File%20Pivot%20Tables_v2.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 Emmanuel Djanhan Kouassi" refreshedDate="46087.751977430555" createdVersion="8" refreshedVersion="8" minRefreshableVersion="3" recordCount="100" xr:uid="{D38CC9D6-2A56-4EDC-B4D4-A50ABEDCFAE0}">
  <cacheSource type="worksheet">
    <worksheetSource ref="B3:K103" sheet="Data" r:id="rId2"/>
  </cacheSource>
  <cacheFields count="10">
    <cacheField name="ID Number" numFmtId="0">
      <sharedItems containsSemiMixedTypes="0" containsString="0" containsNumber="1" containsInteger="1" minValue="101" maxValue="200"/>
    </cacheField>
    <cacheField name="Year" numFmtId="0">
      <sharedItems containsSemiMixedTypes="0" containsString="0" containsNumber="1" containsInteger="1" minValue="2019" maxValue="2021" count="3">
        <n v="2019"/>
        <n v="2020"/>
        <n v="2021"/>
      </sharedItems>
    </cacheField>
    <cacheField name="Region" numFmtId="0">
      <sharedItems count="4">
        <s v="EMEA"/>
        <s v="North America"/>
        <s v="APAC"/>
        <s v="Latin America"/>
      </sharedItems>
    </cacheField>
    <cacheField name="Product" numFmtId="0">
      <sharedItems/>
    </cacheField>
    <cacheField name="Price per unit" numFmtId="0">
      <sharedItems containsSemiMixedTypes="0" containsString="0" containsNumber="1" containsInteger="1" minValue="199" maxValue="1299"/>
    </cacheField>
    <cacheField name="Cost per unit" numFmtId="164">
      <sharedItems containsSemiMixedTypes="0" containsString="0" containsNumber="1" containsInteger="1" minValue="39" maxValue="459"/>
    </cacheField>
    <cacheField name="Quantity Sold" numFmtId="1">
      <sharedItems containsSemiMixedTypes="0" containsString="0" containsNumber="1" minValue="3" maxValue="497.70000000000005"/>
    </cacheField>
    <cacheField name="Revenues" numFmtId="164">
      <sharedItems containsSemiMixedTypes="0" containsString="0" containsNumber="1" minValue="3897" maxValue="622740.60000000009"/>
    </cacheField>
    <cacheField name="Expenses" numFmtId="164">
      <sharedItems containsSemiMixedTypes="0" containsString="0" containsNumber="1" minValue="1377" maxValue="220044.6"/>
    </cacheField>
    <cacheField name="Sales Method"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 Emmanuel Djanhan Kouassi" refreshedDate="46087.765668171298" createdVersion="8" refreshedVersion="8" minRefreshableVersion="3" recordCount="100" xr:uid="{5F72AEEE-461A-4331-8ED3-861048A15EA0}">
  <cacheSource type="worksheet">
    <worksheetSource ref="B3:K103" sheet="Data"/>
  </cacheSource>
  <cacheFields count="11">
    <cacheField name="ID Number" numFmtId="0">
      <sharedItems containsSemiMixedTypes="0" containsString="0" containsNumber="1" containsInteger="1" minValue="101" maxValue="200"/>
    </cacheField>
    <cacheField name="Year" numFmtId="0">
      <sharedItems containsSemiMixedTypes="0" containsString="0" containsNumber="1" containsInteger="1" minValue="2019" maxValue="2021" count="3">
        <n v="2019"/>
        <n v="2020"/>
        <n v="2021"/>
      </sharedItems>
    </cacheField>
    <cacheField name="Region" numFmtId="0">
      <sharedItems count="4">
        <s v="EMEA"/>
        <s v="North America"/>
        <s v="APAC"/>
        <s v="Latin America"/>
      </sharedItems>
    </cacheField>
    <cacheField name="Product" numFmtId="0">
      <sharedItems count="5">
        <s v="iphone"/>
        <s v="macbook"/>
        <s v="ipad"/>
        <s v="iwatch"/>
        <s v="airpod"/>
      </sharedItems>
    </cacheField>
    <cacheField name="Price per unit" numFmtId="0">
      <sharedItems containsSemiMixedTypes="0" containsString="0" containsNumber="1" containsInteger="1" minValue="199" maxValue="1299"/>
    </cacheField>
    <cacheField name="Cost per unit" numFmtId="164">
      <sharedItems containsSemiMixedTypes="0" containsString="0" containsNumber="1" containsInteger="1" minValue="39" maxValue="459"/>
    </cacheField>
    <cacheField name="Quantity Sold" numFmtId="1">
      <sharedItems containsSemiMixedTypes="0" containsString="0" containsNumber="1" minValue="3" maxValue="497.70000000000005"/>
    </cacheField>
    <cacheField name="Revenues" numFmtId="164">
      <sharedItems containsSemiMixedTypes="0" containsString="0" containsNumber="1" minValue="3897" maxValue="622740.60000000009"/>
    </cacheField>
    <cacheField name="Expenses" numFmtId="164">
      <sharedItems containsSemiMixedTypes="0" containsString="0" containsNumber="1" minValue="1377" maxValue="220044.6"/>
    </cacheField>
    <cacheField name="Sales Method" numFmtId="0">
      <sharedItems count="4">
        <s v="In-store"/>
        <s v="Third Party"/>
        <s v="Online Store"/>
        <s v="Referral"/>
      </sharedItems>
    </cacheField>
    <cacheField name="Profit" numFmtId="0" formula="Revenues -Expenses" databaseField="0"/>
  </cacheFields>
  <extLst>
    <ext xmlns:x14="http://schemas.microsoft.com/office/spreadsheetml/2009/9/main" uri="{725AE2AE-9491-48be-B2B4-4EB974FC3084}">
      <x14:pivotCacheDefinition pivotCacheId="12685138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01"/>
    <x v="0"/>
    <x v="0"/>
    <s v="iphone"/>
    <n v="1099"/>
    <n v="289"/>
    <n v="313.5"/>
    <n v="344536.5"/>
    <n v="90601.5"/>
    <s v="In-store"/>
  </r>
  <r>
    <n v="102"/>
    <x v="0"/>
    <x v="1"/>
    <s v="iphone"/>
    <n v="1099"/>
    <n v="289"/>
    <n v="300.7"/>
    <n v="330469.3"/>
    <n v="86902.3"/>
    <s v="Third Party"/>
  </r>
  <r>
    <n v="103"/>
    <x v="0"/>
    <x v="2"/>
    <s v="macbook"/>
    <n v="1299"/>
    <n v="459"/>
    <n v="3"/>
    <n v="3897"/>
    <n v="1377"/>
    <s v="Online Store"/>
  </r>
  <r>
    <n v="104"/>
    <x v="0"/>
    <x v="3"/>
    <s v="ipad"/>
    <n v="599"/>
    <n v="299"/>
    <n v="109"/>
    <n v="65291"/>
    <n v="32591"/>
    <s v="Referral"/>
  </r>
  <r>
    <n v="105"/>
    <x v="0"/>
    <x v="3"/>
    <s v="iwatch"/>
    <n v="449"/>
    <n v="159"/>
    <n v="450.90000000000003"/>
    <n v="202454.1"/>
    <n v="71693.100000000006"/>
    <s v="Online Store"/>
  </r>
  <r>
    <n v="106"/>
    <x v="0"/>
    <x v="3"/>
    <s v="airpod"/>
    <n v="199"/>
    <n v="39"/>
    <n v="270.90000000000003"/>
    <n v="53909.100000000006"/>
    <n v="10565.100000000002"/>
    <s v="Online Store"/>
  </r>
  <r>
    <n v="107"/>
    <x v="0"/>
    <x v="3"/>
    <s v="airpod"/>
    <n v="199"/>
    <n v="39"/>
    <n v="443.1"/>
    <n v="88176.900000000009"/>
    <n v="17280.900000000001"/>
    <s v="In-store"/>
  </r>
  <r>
    <n v="108"/>
    <x v="0"/>
    <x v="0"/>
    <s v="airpod"/>
    <n v="199"/>
    <n v="39"/>
    <n v="459.3"/>
    <n v="91400.7"/>
    <n v="17912.7"/>
    <s v="Online Store"/>
  </r>
  <r>
    <n v="109"/>
    <x v="0"/>
    <x v="1"/>
    <s v="iphone"/>
    <n v="1099"/>
    <n v="289"/>
    <n v="222.5"/>
    <n v="244527.5"/>
    <n v="64302.5"/>
    <s v="Online Store"/>
  </r>
  <r>
    <n v="110"/>
    <x v="0"/>
    <x v="2"/>
    <s v="macbook"/>
    <n v="1299"/>
    <n v="459"/>
    <n v="479.40000000000003"/>
    <n v="622740.60000000009"/>
    <n v="220044.6"/>
    <s v="In-store"/>
  </r>
  <r>
    <n v="111"/>
    <x v="0"/>
    <x v="2"/>
    <s v="macbook"/>
    <n v="1299"/>
    <n v="459"/>
    <n v="301.2"/>
    <n v="391258.8"/>
    <n v="138250.79999999999"/>
    <s v="In-store"/>
  </r>
  <r>
    <n v="112"/>
    <x v="0"/>
    <x v="2"/>
    <s v="airpod"/>
    <n v="199"/>
    <n v="39"/>
    <n v="315.10000000000002"/>
    <n v="62704.9"/>
    <n v="12288.900000000001"/>
    <s v="In-store"/>
  </r>
  <r>
    <n v="113"/>
    <x v="0"/>
    <x v="0"/>
    <s v="iphone"/>
    <n v="1099"/>
    <n v="289"/>
    <n v="142.4"/>
    <n v="156497.60000000001"/>
    <n v="41153.599999999999"/>
    <s v="In-store"/>
  </r>
  <r>
    <n v="114"/>
    <x v="0"/>
    <x v="1"/>
    <s v="iwatch"/>
    <n v="449"/>
    <n v="159"/>
    <n v="311"/>
    <n v="139639"/>
    <n v="49449"/>
    <s v="In-store"/>
  </r>
  <r>
    <n v="115"/>
    <x v="0"/>
    <x v="2"/>
    <s v="ipad"/>
    <n v="599"/>
    <n v="299"/>
    <n v="378.20000000000005"/>
    <n v="226541.80000000002"/>
    <n v="113081.80000000002"/>
    <s v="In-store"/>
  </r>
  <r>
    <n v="116"/>
    <x v="0"/>
    <x v="2"/>
    <s v="iwatch"/>
    <n v="449"/>
    <n v="159"/>
    <n v="291.90000000000003"/>
    <n v="131063.10000000002"/>
    <n v="46412.100000000006"/>
    <s v="Referral"/>
  </r>
  <r>
    <n v="117"/>
    <x v="0"/>
    <x v="2"/>
    <s v="iphone"/>
    <n v="1099"/>
    <n v="289"/>
    <n v="479.3"/>
    <n v="526750.70000000007"/>
    <n v="138517.70000000001"/>
    <s v="Referral"/>
  </r>
  <r>
    <n v="118"/>
    <x v="0"/>
    <x v="0"/>
    <s v="iwatch"/>
    <n v="449"/>
    <n v="159"/>
    <n v="115.10000000000001"/>
    <n v="51679.9"/>
    <n v="18300.900000000001"/>
    <s v="Third Party"/>
  </r>
  <r>
    <n v="119"/>
    <x v="0"/>
    <x v="2"/>
    <s v="iphone"/>
    <n v="1099"/>
    <n v="289"/>
    <n v="347.8"/>
    <n v="382232.2"/>
    <n v="100514.2"/>
    <s v="Referral"/>
  </r>
  <r>
    <n v="120"/>
    <x v="0"/>
    <x v="2"/>
    <s v="macbook"/>
    <n v="1299"/>
    <n v="459"/>
    <n v="222.4"/>
    <n v="288897.60000000003"/>
    <n v="102081.60000000001"/>
    <s v="Referral"/>
  </r>
  <r>
    <n v="121"/>
    <x v="0"/>
    <x v="2"/>
    <s v="iphone"/>
    <n v="1099"/>
    <n v="289"/>
    <n v="276.5"/>
    <n v="303873.5"/>
    <n v="79908.5"/>
    <s v="Online Store"/>
  </r>
  <r>
    <n v="122"/>
    <x v="0"/>
    <x v="0"/>
    <s v="iphone"/>
    <n v="1099"/>
    <n v="289"/>
    <n v="151.20000000000002"/>
    <n v="166168.80000000002"/>
    <n v="43696.800000000003"/>
    <s v="Online Store"/>
  </r>
  <r>
    <n v="123"/>
    <x v="0"/>
    <x v="0"/>
    <s v="airpod"/>
    <n v="199"/>
    <n v="39"/>
    <n v="171.60000000000002"/>
    <n v="34148.400000000001"/>
    <n v="6692.4000000000005"/>
    <s v="Online Store"/>
  </r>
  <r>
    <n v="124"/>
    <x v="0"/>
    <x v="1"/>
    <s v="ipad"/>
    <n v="599"/>
    <n v="299"/>
    <n v="365.40000000000003"/>
    <n v="218874.60000000003"/>
    <n v="109254.6"/>
    <s v="Online Store"/>
  </r>
  <r>
    <n v="125"/>
    <x v="0"/>
    <x v="1"/>
    <s v="macbook"/>
    <n v="1299"/>
    <n v="459"/>
    <n v="156.10000000000002"/>
    <n v="202773.90000000002"/>
    <n v="71649.900000000009"/>
    <s v="In-store"/>
  </r>
  <r>
    <n v="126"/>
    <x v="0"/>
    <x v="0"/>
    <s v="macbook"/>
    <n v="1299"/>
    <n v="459"/>
    <n v="208.3"/>
    <n v="270581.7"/>
    <n v="95609.700000000012"/>
    <s v="Online Store"/>
  </r>
  <r>
    <n v="127"/>
    <x v="0"/>
    <x v="1"/>
    <s v="macbook"/>
    <n v="1299"/>
    <n v="459"/>
    <n v="267.3"/>
    <n v="347222.7"/>
    <n v="122690.70000000001"/>
    <s v="In-store"/>
  </r>
  <r>
    <n v="128"/>
    <x v="0"/>
    <x v="1"/>
    <s v="ipad"/>
    <n v="599"/>
    <n v="299"/>
    <n v="338.5"/>
    <n v="202761.5"/>
    <n v="101211.5"/>
    <s v="In-store"/>
  </r>
  <r>
    <n v="129"/>
    <x v="0"/>
    <x v="2"/>
    <s v="iphone"/>
    <n v="1099"/>
    <n v="289"/>
    <n v="321.8"/>
    <n v="353658.2"/>
    <n v="93000.2"/>
    <s v="Online Store"/>
  </r>
  <r>
    <n v="130"/>
    <x v="0"/>
    <x v="1"/>
    <s v="airpod"/>
    <n v="199"/>
    <n v="39"/>
    <n v="368.70000000000005"/>
    <n v="73371.3"/>
    <n v="14379.300000000001"/>
    <s v="Referral"/>
  </r>
  <r>
    <n v="131"/>
    <x v="0"/>
    <x v="0"/>
    <s v="macbook"/>
    <n v="1299"/>
    <n v="459"/>
    <n v="126.9"/>
    <n v="164843.1"/>
    <n v="58247.100000000006"/>
    <s v="Third Party"/>
  </r>
  <r>
    <n v="132"/>
    <x v="0"/>
    <x v="3"/>
    <s v="ipad"/>
    <n v="599"/>
    <n v="299"/>
    <n v="390"/>
    <n v="233610"/>
    <n v="116610"/>
    <s v="Online Store"/>
  </r>
  <r>
    <n v="133"/>
    <x v="0"/>
    <x v="3"/>
    <s v="macbook"/>
    <n v="1299"/>
    <n v="459"/>
    <n v="388.3"/>
    <n v="504401.7"/>
    <n v="178229.7"/>
    <s v="Third Party"/>
  </r>
  <r>
    <n v="134"/>
    <x v="1"/>
    <x v="3"/>
    <s v="macbook"/>
    <n v="1299"/>
    <n v="459"/>
    <n v="112"/>
    <n v="145488"/>
    <n v="51408"/>
    <s v="Online Store"/>
  </r>
  <r>
    <n v="135"/>
    <x v="1"/>
    <x v="3"/>
    <s v="airpod"/>
    <n v="199"/>
    <n v="39"/>
    <n v="331.70000000000005"/>
    <n v="66008.3"/>
    <n v="12936.300000000001"/>
    <s v="In-store"/>
  </r>
  <r>
    <n v="136"/>
    <x v="1"/>
    <x v="1"/>
    <s v="airpod"/>
    <n v="199"/>
    <n v="39"/>
    <n v="171"/>
    <n v="34029"/>
    <n v="6669"/>
    <s v="In-store"/>
  </r>
  <r>
    <n v="137"/>
    <x v="1"/>
    <x v="3"/>
    <s v="macbook"/>
    <n v="1299"/>
    <n v="459"/>
    <n v="167.20000000000002"/>
    <n v="217192.80000000002"/>
    <n v="76744.800000000003"/>
    <s v="Online Store"/>
  </r>
  <r>
    <n v="138"/>
    <x v="1"/>
    <x v="1"/>
    <s v="airpod"/>
    <n v="199"/>
    <n v="39"/>
    <n v="357.8"/>
    <n v="71202.2"/>
    <n v="13954.2"/>
    <s v="Online Store"/>
  </r>
  <r>
    <n v="139"/>
    <x v="1"/>
    <x v="3"/>
    <s v="iwatch"/>
    <n v="449"/>
    <n v="159"/>
    <n v="396.20000000000005"/>
    <n v="177893.80000000002"/>
    <n v="62995.80000000001"/>
    <s v="Online Store"/>
  </r>
  <r>
    <n v="140"/>
    <x v="1"/>
    <x v="3"/>
    <s v="iwatch"/>
    <n v="449"/>
    <n v="159"/>
    <n v="314.20000000000005"/>
    <n v="141075.80000000002"/>
    <n v="49957.80000000001"/>
    <s v="Online Store"/>
  </r>
  <r>
    <n v="141"/>
    <x v="1"/>
    <x v="2"/>
    <s v="ipad"/>
    <n v="599"/>
    <n v="299"/>
    <n v="497.70000000000005"/>
    <n v="298122.30000000005"/>
    <n v="148812.30000000002"/>
    <s v="Third Party"/>
  </r>
  <r>
    <n v="142"/>
    <x v="1"/>
    <x v="3"/>
    <s v="ipad"/>
    <n v="599"/>
    <n v="299"/>
    <n v="125.4"/>
    <n v="75114.600000000006"/>
    <n v="37494.6"/>
    <s v="Referral"/>
  </r>
  <r>
    <n v="143"/>
    <x v="1"/>
    <x v="1"/>
    <s v="airpod"/>
    <n v="199"/>
    <n v="39"/>
    <n v="411.20000000000005"/>
    <n v="81828.800000000003"/>
    <n v="16036.800000000001"/>
    <s v="Referral"/>
  </r>
  <r>
    <n v="144"/>
    <x v="1"/>
    <x v="1"/>
    <s v="airpod"/>
    <n v="199"/>
    <n v="39"/>
    <n v="194.3"/>
    <n v="38665.700000000004"/>
    <n v="7577.7000000000007"/>
    <s v="In-store"/>
  </r>
  <r>
    <n v="145"/>
    <x v="1"/>
    <x v="2"/>
    <s v="airpod"/>
    <n v="199"/>
    <n v="39"/>
    <n v="167.9"/>
    <n v="33412.1"/>
    <n v="6548.1"/>
    <s v="In-store"/>
  </r>
  <r>
    <n v="146"/>
    <x v="1"/>
    <x v="3"/>
    <s v="iphone"/>
    <n v="1099"/>
    <n v="289"/>
    <n v="132.20000000000002"/>
    <n v="145287.80000000002"/>
    <n v="38205.800000000003"/>
    <s v="In-store"/>
  </r>
  <r>
    <n v="147"/>
    <x v="1"/>
    <x v="2"/>
    <s v="iphone"/>
    <n v="1099"/>
    <n v="289"/>
    <n v="139.4"/>
    <n v="153200.6"/>
    <n v="40286.6"/>
    <s v="In-store"/>
  </r>
  <r>
    <n v="148"/>
    <x v="1"/>
    <x v="1"/>
    <s v="iphone"/>
    <n v="1099"/>
    <n v="289"/>
    <n v="106"/>
    <n v="116494"/>
    <n v="30634"/>
    <s v="In-store"/>
  </r>
  <r>
    <n v="149"/>
    <x v="1"/>
    <x v="2"/>
    <s v="ipad"/>
    <n v="599"/>
    <n v="299"/>
    <n v="271.90000000000003"/>
    <n v="162868.10000000003"/>
    <n v="81298.100000000006"/>
    <s v="Referral"/>
  </r>
  <r>
    <n v="150"/>
    <x v="1"/>
    <x v="1"/>
    <s v="airpod"/>
    <n v="199"/>
    <n v="39"/>
    <n v="236"/>
    <n v="46964"/>
    <n v="9204"/>
    <s v="Third Party"/>
  </r>
  <r>
    <n v="151"/>
    <x v="1"/>
    <x v="2"/>
    <s v="macbook"/>
    <n v="1299"/>
    <n v="459"/>
    <n v="339.8"/>
    <n v="441400.2"/>
    <n v="155968.20000000001"/>
    <s v="Third Party"/>
  </r>
  <r>
    <n v="152"/>
    <x v="1"/>
    <x v="2"/>
    <s v="ipad"/>
    <n v="599"/>
    <n v="299"/>
    <n v="403.6"/>
    <n v="241756.40000000002"/>
    <n v="120676.40000000001"/>
    <s v="Online Store"/>
  </r>
  <r>
    <n v="153"/>
    <x v="1"/>
    <x v="3"/>
    <s v="macbook"/>
    <n v="1299"/>
    <n v="459"/>
    <n v="218.60000000000002"/>
    <n v="283961.40000000002"/>
    <n v="100337.40000000001"/>
    <s v="Online Store"/>
  </r>
  <r>
    <n v="154"/>
    <x v="1"/>
    <x v="3"/>
    <s v="macbook"/>
    <n v="1299"/>
    <n v="459"/>
    <n v="462.20000000000005"/>
    <n v="600397.80000000005"/>
    <n v="212149.80000000002"/>
    <s v="Third Party"/>
  </r>
  <r>
    <n v="155"/>
    <x v="1"/>
    <x v="1"/>
    <s v="iwatch"/>
    <n v="449"/>
    <n v="159"/>
    <n v="210.9"/>
    <n v="94694.1"/>
    <n v="33533.1"/>
    <s v="Online Store"/>
  </r>
  <r>
    <n v="156"/>
    <x v="1"/>
    <x v="2"/>
    <s v="iwatch"/>
    <n v="449"/>
    <n v="159"/>
    <n v="453.40000000000003"/>
    <n v="203576.6"/>
    <n v="72090.600000000006"/>
    <s v="Third Party"/>
  </r>
  <r>
    <n v="157"/>
    <x v="1"/>
    <x v="3"/>
    <s v="airpod"/>
    <n v="199"/>
    <n v="39"/>
    <n v="471.90000000000003"/>
    <n v="93908.1"/>
    <n v="18404.100000000002"/>
    <s v="Third Party"/>
  </r>
  <r>
    <n v="158"/>
    <x v="1"/>
    <x v="2"/>
    <s v="iwatch"/>
    <n v="449"/>
    <n v="159"/>
    <n v="128.30000000000001"/>
    <n v="57606.700000000004"/>
    <n v="20399.7"/>
    <s v="Third Party"/>
  </r>
  <r>
    <n v="159"/>
    <x v="1"/>
    <x v="1"/>
    <s v="ipad"/>
    <n v="599"/>
    <n v="299"/>
    <n v="198.20000000000002"/>
    <n v="118721.80000000002"/>
    <n v="59261.8"/>
    <s v="Third Party"/>
  </r>
  <r>
    <n v="160"/>
    <x v="1"/>
    <x v="2"/>
    <s v="ipad"/>
    <n v="599"/>
    <n v="299"/>
    <n v="300.3"/>
    <n v="179879.7"/>
    <n v="89789.7"/>
    <s v="Third Party"/>
  </r>
  <r>
    <n v="161"/>
    <x v="1"/>
    <x v="3"/>
    <s v="iphone"/>
    <n v="1099"/>
    <n v="289"/>
    <n v="129.4"/>
    <n v="142210.6"/>
    <n v="37396.6"/>
    <s v="Third Party"/>
  </r>
  <r>
    <n v="162"/>
    <x v="1"/>
    <x v="2"/>
    <s v="iphone"/>
    <n v="1099"/>
    <n v="289"/>
    <n v="341.70000000000005"/>
    <n v="375528.30000000005"/>
    <n v="98751.300000000017"/>
    <s v="Third Party"/>
  </r>
  <r>
    <n v="163"/>
    <x v="1"/>
    <x v="1"/>
    <s v="ipad"/>
    <n v="599"/>
    <n v="299"/>
    <n v="155.60000000000002"/>
    <n v="93204.400000000009"/>
    <n v="46524.400000000009"/>
    <s v="In-store"/>
  </r>
  <r>
    <n v="164"/>
    <x v="1"/>
    <x v="2"/>
    <s v="macbook"/>
    <n v="1299"/>
    <n v="459"/>
    <n v="318.40000000000003"/>
    <n v="413601.60000000003"/>
    <n v="146145.60000000001"/>
    <s v="In-store"/>
  </r>
  <r>
    <n v="165"/>
    <x v="1"/>
    <x v="3"/>
    <s v="airpod"/>
    <n v="199"/>
    <n v="39"/>
    <n v="307.60000000000002"/>
    <n v="61212.4"/>
    <n v="11996.400000000001"/>
    <s v="In-store"/>
  </r>
  <r>
    <n v="166"/>
    <x v="1"/>
    <x v="2"/>
    <s v="macbook"/>
    <n v="1299"/>
    <n v="459"/>
    <n v="187.3"/>
    <n v="243302.7"/>
    <n v="85970.700000000012"/>
    <s v="In-store"/>
  </r>
  <r>
    <n v="167"/>
    <x v="1"/>
    <x v="1"/>
    <s v="airpod"/>
    <n v="199"/>
    <n v="39"/>
    <n v="157.4"/>
    <n v="31322.600000000002"/>
    <n v="6138.6"/>
    <s v="In-store"/>
  </r>
  <r>
    <n v="168"/>
    <x v="2"/>
    <x v="2"/>
    <s v="iwatch"/>
    <n v="449"/>
    <n v="159"/>
    <n v="219.3"/>
    <n v="98465.700000000012"/>
    <n v="34868.700000000004"/>
    <s v="In-store"/>
  </r>
  <r>
    <n v="169"/>
    <x v="2"/>
    <x v="3"/>
    <s v="airpod"/>
    <n v="199"/>
    <n v="39"/>
    <n v="133"/>
    <n v="26467"/>
    <n v="5187"/>
    <s v="Online Store"/>
  </r>
  <r>
    <n v="170"/>
    <x v="2"/>
    <x v="3"/>
    <s v="macbook"/>
    <n v="1299"/>
    <n v="459"/>
    <n v="357.6"/>
    <n v="464522.4"/>
    <n v="164138.40000000002"/>
    <s v="Online Store"/>
  </r>
  <r>
    <n v="171"/>
    <x v="2"/>
    <x v="0"/>
    <s v="airpod"/>
    <n v="199"/>
    <n v="39"/>
    <n v="400.6"/>
    <n v="79719.400000000009"/>
    <n v="15623.400000000001"/>
    <s v="In-store"/>
  </r>
  <r>
    <n v="172"/>
    <x v="2"/>
    <x v="3"/>
    <s v="airpod"/>
    <n v="199"/>
    <n v="39"/>
    <n v="433.1"/>
    <n v="86186.900000000009"/>
    <n v="16890.900000000001"/>
    <s v="Third Party"/>
  </r>
  <r>
    <n v="173"/>
    <x v="2"/>
    <x v="1"/>
    <s v="iphone"/>
    <n v="1099"/>
    <n v="289"/>
    <n v="205.9"/>
    <n v="226284.1"/>
    <n v="59505.1"/>
    <s v="Third Party"/>
  </r>
  <r>
    <n v="174"/>
    <x v="2"/>
    <x v="1"/>
    <s v="airpod"/>
    <n v="199"/>
    <n v="39"/>
    <n v="436"/>
    <n v="86764"/>
    <n v="17004"/>
    <s v="Third Party"/>
  </r>
  <r>
    <n v="175"/>
    <x v="2"/>
    <x v="0"/>
    <s v="ipad"/>
    <n v="599"/>
    <n v="299"/>
    <n v="114.7"/>
    <n v="68705.3"/>
    <n v="34295.300000000003"/>
    <s v="Third Party"/>
  </r>
  <r>
    <n v="176"/>
    <x v="2"/>
    <x v="0"/>
    <s v="iphone"/>
    <n v="1099"/>
    <n v="289"/>
    <n v="213.8"/>
    <n v="234966.2"/>
    <n v="61788.200000000004"/>
    <s v="Third Party"/>
  </r>
  <r>
    <n v="177"/>
    <x v="2"/>
    <x v="0"/>
    <s v="macbook"/>
    <n v="1299"/>
    <n v="459"/>
    <n v="124"/>
    <n v="161076"/>
    <n v="56916"/>
    <s v="Third Party"/>
  </r>
  <r>
    <n v="178"/>
    <x v="2"/>
    <x v="1"/>
    <s v="airpod"/>
    <n v="199"/>
    <n v="39"/>
    <n v="285.10000000000002"/>
    <n v="56734.9"/>
    <n v="11118.900000000001"/>
    <s v="Third Party"/>
  </r>
  <r>
    <n v="179"/>
    <x v="2"/>
    <x v="3"/>
    <s v="airpod"/>
    <n v="199"/>
    <n v="39"/>
    <n v="228.9"/>
    <n v="45551.1"/>
    <n v="8927.1"/>
    <s v="Third Party"/>
  </r>
  <r>
    <n v="180"/>
    <x v="2"/>
    <x v="1"/>
    <s v="airpod"/>
    <n v="199"/>
    <n v="39"/>
    <n v="361"/>
    <n v="71839"/>
    <n v="14079"/>
    <s v="Third Party"/>
  </r>
  <r>
    <n v="181"/>
    <x v="2"/>
    <x v="1"/>
    <s v="iphone"/>
    <n v="1099"/>
    <n v="289"/>
    <n v="425.70000000000005"/>
    <n v="467844.30000000005"/>
    <n v="123027.30000000002"/>
    <s v="In-store"/>
  </r>
  <r>
    <n v="182"/>
    <x v="2"/>
    <x v="1"/>
    <s v="airpod"/>
    <n v="199"/>
    <n v="39"/>
    <n v="233.3"/>
    <n v="46426.700000000004"/>
    <n v="9098.7000000000007"/>
    <s v="Third Party"/>
  </r>
  <r>
    <n v="183"/>
    <x v="2"/>
    <x v="3"/>
    <s v="ipad"/>
    <n v="599"/>
    <n v="299"/>
    <n v="381.20000000000005"/>
    <n v="228338.80000000002"/>
    <n v="113978.80000000002"/>
    <s v="In-store"/>
  </r>
  <r>
    <n v="184"/>
    <x v="2"/>
    <x v="2"/>
    <s v="macbook"/>
    <n v="1299"/>
    <n v="459"/>
    <n v="415.3"/>
    <n v="539474.70000000007"/>
    <n v="190622.7"/>
    <s v="Third Party"/>
  </r>
  <r>
    <n v="185"/>
    <x v="2"/>
    <x v="2"/>
    <s v="iphone"/>
    <n v="1099"/>
    <n v="289"/>
    <n v="250.4"/>
    <n v="275189.60000000003"/>
    <n v="72365.600000000006"/>
    <s v="Online Store"/>
  </r>
  <r>
    <n v="186"/>
    <x v="2"/>
    <x v="2"/>
    <s v="iwatch"/>
    <n v="449"/>
    <n v="159"/>
    <n v="280.10000000000002"/>
    <n v="125764.90000000001"/>
    <n v="44535.9"/>
    <s v="Referral"/>
  </r>
  <r>
    <n v="187"/>
    <x v="2"/>
    <x v="2"/>
    <s v="airpod"/>
    <n v="199"/>
    <n v="39"/>
    <n v="214.9"/>
    <n v="42765.1"/>
    <n v="8381.1"/>
    <s v="Third Party"/>
  </r>
  <r>
    <n v="188"/>
    <x v="2"/>
    <x v="2"/>
    <s v="ipad"/>
    <n v="599"/>
    <n v="299"/>
    <n v="319.20000000000005"/>
    <n v="191200.80000000002"/>
    <n v="95440.800000000017"/>
    <s v="Third Party"/>
  </r>
  <r>
    <n v="189"/>
    <x v="2"/>
    <x v="1"/>
    <s v="macbook"/>
    <n v="1299"/>
    <n v="459"/>
    <n v="209.9"/>
    <n v="272660.10000000003"/>
    <n v="96344.1"/>
    <s v="Referral"/>
  </r>
  <r>
    <n v="190"/>
    <x v="2"/>
    <x v="0"/>
    <s v="iphone"/>
    <n v="1099"/>
    <n v="289"/>
    <n v="197.9"/>
    <n v="217492.1"/>
    <n v="57193.1"/>
    <s v="Third Party"/>
  </r>
  <r>
    <n v="191"/>
    <x v="2"/>
    <x v="3"/>
    <s v="iphone"/>
    <n v="1099"/>
    <n v="289"/>
    <n v="122.2"/>
    <n v="134297.80000000002"/>
    <n v="35315.800000000003"/>
    <s v="Third Party"/>
  </r>
  <r>
    <n v="192"/>
    <x v="2"/>
    <x v="3"/>
    <s v="airpod"/>
    <n v="199"/>
    <n v="39"/>
    <n v="379.3"/>
    <n v="75480.7"/>
    <n v="14792.7"/>
    <s v="Third Party"/>
  </r>
  <r>
    <n v="193"/>
    <x v="2"/>
    <x v="3"/>
    <s v="iwatch"/>
    <n v="449"/>
    <n v="159"/>
    <n v="120.80000000000001"/>
    <n v="54239.200000000004"/>
    <n v="19207.2"/>
    <s v="Referral"/>
  </r>
  <r>
    <n v="194"/>
    <x v="2"/>
    <x v="1"/>
    <s v="iwatch"/>
    <n v="449"/>
    <n v="159"/>
    <n v="454.3"/>
    <n v="203980.7"/>
    <n v="72233.7"/>
    <s v="Third Party"/>
  </r>
  <r>
    <n v="195"/>
    <x v="2"/>
    <x v="0"/>
    <s v="airpod"/>
    <n v="199"/>
    <n v="39"/>
    <n v="245.8"/>
    <n v="48914.200000000004"/>
    <n v="9586.2000000000007"/>
    <s v="Referral"/>
  </r>
  <r>
    <n v="196"/>
    <x v="2"/>
    <x v="3"/>
    <s v="airpod"/>
    <n v="199"/>
    <n v="39"/>
    <n v="285.5"/>
    <n v="56814.5"/>
    <n v="11134.5"/>
    <s v="Referral"/>
  </r>
  <r>
    <n v="197"/>
    <x v="2"/>
    <x v="0"/>
    <s v="airpod"/>
    <n v="199"/>
    <n v="39"/>
    <n v="242.10000000000002"/>
    <n v="48177.9"/>
    <n v="9441.9000000000015"/>
    <s v="Referral"/>
  </r>
  <r>
    <n v="198"/>
    <x v="2"/>
    <x v="0"/>
    <s v="ipad"/>
    <n v="599"/>
    <n v="299"/>
    <n v="133.9"/>
    <n v="80206.100000000006"/>
    <n v="40036.1"/>
    <s v="Online Store"/>
  </r>
  <r>
    <n v="199"/>
    <x v="2"/>
    <x v="0"/>
    <s v="ipad"/>
    <n v="599"/>
    <n v="299"/>
    <n v="288.60000000000002"/>
    <n v="172871.40000000002"/>
    <n v="86291.400000000009"/>
    <s v="Online Store"/>
  </r>
  <r>
    <n v="200"/>
    <x v="2"/>
    <x v="0"/>
    <s v="airpod"/>
    <n v="199"/>
    <n v="39"/>
    <n v="200.10000000000002"/>
    <n v="39819.9"/>
    <n v="7803.9000000000005"/>
    <s v="Referral"/>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01"/>
    <x v="0"/>
    <x v="0"/>
    <x v="0"/>
    <n v="1099"/>
    <n v="289"/>
    <n v="313.5"/>
    <n v="344536.5"/>
    <n v="90601.5"/>
    <x v="0"/>
  </r>
  <r>
    <n v="102"/>
    <x v="0"/>
    <x v="1"/>
    <x v="0"/>
    <n v="1099"/>
    <n v="289"/>
    <n v="300.7"/>
    <n v="330469.3"/>
    <n v="86902.3"/>
    <x v="1"/>
  </r>
  <r>
    <n v="103"/>
    <x v="0"/>
    <x v="2"/>
    <x v="1"/>
    <n v="1299"/>
    <n v="459"/>
    <n v="3"/>
    <n v="3897"/>
    <n v="1377"/>
    <x v="2"/>
  </r>
  <r>
    <n v="104"/>
    <x v="0"/>
    <x v="3"/>
    <x v="2"/>
    <n v="599"/>
    <n v="299"/>
    <n v="109"/>
    <n v="65291"/>
    <n v="32591"/>
    <x v="3"/>
  </r>
  <r>
    <n v="105"/>
    <x v="0"/>
    <x v="3"/>
    <x v="3"/>
    <n v="449"/>
    <n v="159"/>
    <n v="450.90000000000003"/>
    <n v="202454.1"/>
    <n v="71693.100000000006"/>
    <x v="2"/>
  </r>
  <r>
    <n v="106"/>
    <x v="0"/>
    <x v="3"/>
    <x v="4"/>
    <n v="199"/>
    <n v="39"/>
    <n v="270.90000000000003"/>
    <n v="53909.100000000006"/>
    <n v="10565.100000000002"/>
    <x v="2"/>
  </r>
  <r>
    <n v="107"/>
    <x v="0"/>
    <x v="3"/>
    <x v="4"/>
    <n v="199"/>
    <n v="39"/>
    <n v="443.1"/>
    <n v="88176.900000000009"/>
    <n v="17280.900000000001"/>
    <x v="0"/>
  </r>
  <r>
    <n v="108"/>
    <x v="0"/>
    <x v="0"/>
    <x v="4"/>
    <n v="199"/>
    <n v="39"/>
    <n v="459.3"/>
    <n v="91400.7"/>
    <n v="17912.7"/>
    <x v="2"/>
  </r>
  <r>
    <n v="109"/>
    <x v="0"/>
    <x v="1"/>
    <x v="0"/>
    <n v="1099"/>
    <n v="289"/>
    <n v="222.5"/>
    <n v="244527.5"/>
    <n v="64302.5"/>
    <x v="2"/>
  </r>
  <r>
    <n v="110"/>
    <x v="0"/>
    <x v="2"/>
    <x v="1"/>
    <n v="1299"/>
    <n v="459"/>
    <n v="479.40000000000003"/>
    <n v="622740.60000000009"/>
    <n v="220044.6"/>
    <x v="0"/>
  </r>
  <r>
    <n v="111"/>
    <x v="0"/>
    <x v="2"/>
    <x v="1"/>
    <n v="1299"/>
    <n v="459"/>
    <n v="301.2"/>
    <n v="391258.8"/>
    <n v="138250.79999999999"/>
    <x v="0"/>
  </r>
  <r>
    <n v="112"/>
    <x v="0"/>
    <x v="2"/>
    <x v="4"/>
    <n v="199"/>
    <n v="39"/>
    <n v="315.10000000000002"/>
    <n v="62704.9"/>
    <n v="12288.900000000001"/>
    <x v="0"/>
  </r>
  <r>
    <n v="113"/>
    <x v="0"/>
    <x v="0"/>
    <x v="0"/>
    <n v="1099"/>
    <n v="289"/>
    <n v="142.4"/>
    <n v="156497.60000000001"/>
    <n v="41153.599999999999"/>
    <x v="0"/>
  </r>
  <r>
    <n v="114"/>
    <x v="0"/>
    <x v="1"/>
    <x v="3"/>
    <n v="449"/>
    <n v="159"/>
    <n v="311"/>
    <n v="139639"/>
    <n v="49449"/>
    <x v="0"/>
  </r>
  <r>
    <n v="115"/>
    <x v="0"/>
    <x v="2"/>
    <x v="2"/>
    <n v="599"/>
    <n v="299"/>
    <n v="378.20000000000005"/>
    <n v="226541.80000000002"/>
    <n v="113081.80000000002"/>
    <x v="0"/>
  </r>
  <r>
    <n v="116"/>
    <x v="0"/>
    <x v="2"/>
    <x v="3"/>
    <n v="449"/>
    <n v="159"/>
    <n v="291.90000000000003"/>
    <n v="131063.10000000002"/>
    <n v="46412.100000000006"/>
    <x v="3"/>
  </r>
  <r>
    <n v="117"/>
    <x v="0"/>
    <x v="2"/>
    <x v="0"/>
    <n v="1099"/>
    <n v="289"/>
    <n v="479.3"/>
    <n v="526750.70000000007"/>
    <n v="138517.70000000001"/>
    <x v="3"/>
  </r>
  <r>
    <n v="118"/>
    <x v="0"/>
    <x v="0"/>
    <x v="3"/>
    <n v="449"/>
    <n v="159"/>
    <n v="115.10000000000001"/>
    <n v="51679.9"/>
    <n v="18300.900000000001"/>
    <x v="1"/>
  </r>
  <r>
    <n v="119"/>
    <x v="0"/>
    <x v="2"/>
    <x v="0"/>
    <n v="1099"/>
    <n v="289"/>
    <n v="347.8"/>
    <n v="382232.2"/>
    <n v="100514.2"/>
    <x v="3"/>
  </r>
  <r>
    <n v="120"/>
    <x v="0"/>
    <x v="2"/>
    <x v="1"/>
    <n v="1299"/>
    <n v="459"/>
    <n v="222.4"/>
    <n v="288897.60000000003"/>
    <n v="102081.60000000001"/>
    <x v="3"/>
  </r>
  <r>
    <n v="121"/>
    <x v="0"/>
    <x v="2"/>
    <x v="0"/>
    <n v="1099"/>
    <n v="289"/>
    <n v="276.5"/>
    <n v="303873.5"/>
    <n v="79908.5"/>
    <x v="2"/>
  </r>
  <r>
    <n v="122"/>
    <x v="0"/>
    <x v="0"/>
    <x v="0"/>
    <n v="1099"/>
    <n v="289"/>
    <n v="151.20000000000002"/>
    <n v="166168.80000000002"/>
    <n v="43696.800000000003"/>
    <x v="2"/>
  </r>
  <r>
    <n v="123"/>
    <x v="0"/>
    <x v="0"/>
    <x v="4"/>
    <n v="199"/>
    <n v="39"/>
    <n v="171.60000000000002"/>
    <n v="34148.400000000001"/>
    <n v="6692.4000000000005"/>
    <x v="2"/>
  </r>
  <r>
    <n v="124"/>
    <x v="0"/>
    <x v="1"/>
    <x v="2"/>
    <n v="599"/>
    <n v="299"/>
    <n v="365.40000000000003"/>
    <n v="218874.60000000003"/>
    <n v="109254.6"/>
    <x v="2"/>
  </r>
  <r>
    <n v="125"/>
    <x v="0"/>
    <x v="1"/>
    <x v="1"/>
    <n v="1299"/>
    <n v="459"/>
    <n v="156.10000000000002"/>
    <n v="202773.90000000002"/>
    <n v="71649.900000000009"/>
    <x v="0"/>
  </r>
  <r>
    <n v="126"/>
    <x v="0"/>
    <x v="0"/>
    <x v="1"/>
    <n v="1299"/>
    <n v="459"/>
    <n v="208.3"/>
    <n v="270581.7"/>
    <n v="95609.700000000012"/>
    <x v="2"/>
  </r>
  <r>
    <n v="127"/>
    <x v="0"/>
    <x v="1"/>
    <x v="1"/>
    <n v="1299"/>
    <n v="459"/>
    <n v="267.3"/>
    <n v="347222.7"/>
    <n v="122690.70000000001"/>
    <x v="0"/>
  </r>
  <r>
    <n v="128"/>
    <x v="0"/>
    <x v="1"/>
    <x v="2"/>
    <n v="599"/>
    <n v="299"/>
    <n v="338.5"/>
    <n v="202761.5"/>
    <n v="101211.5"/>
    <x v="0"/>
  </r>
  <r>
    <n v="129"/>
    <x v="0"/>
    <x v="2"/>
    <x v="0"/>
    <n v="1099"/>
    <n v="289"/>
    <n v="321.8"/>
    <n v="353658.2"/>
    <n v="93000.2"/>
    <x v="2"/>
  </r>
  <r>
    <n v="130"/>
    <x v="0"/>
    <x v="1"/>
    <x v="4"/>
    <n v="199"/>
    <n v="39"/>
    <n v="368.70000000000005"/>
    <n v="73371.3"/>
    <n v="14379.300000000001"/>
    <x v="3"/>
  </r>
  <r>
    <n v="131"/>
    <x v="0"/>
    <x v="0"/>
    <x v="1"/>
    <n v="1299"/>
    <n v="459"/>
    <n v="126.9"/>
    <n v="164843.1"/>
    <n v="58247.100000000006"/>
    <x v="1"/>
  </r>
  <r>
    <n v="132"/>
    <x v="0"/>
    <x v="3"/>
    <x v="2"/>
    <n v="599"/>
    <n v="299"/>
    <n v="390"/>
    <n v="233610"/>
    <n v="116610"/>
    <x v="2"/>
  </r>
  <r>
    <n v="133"/>
    <x v="0"/>
    <x v="3"/>
    <x v="1"/>
    <n v="1299"/>
    <n v="459"/>
    <n v="388.3"/>
    <n v="504401.7"/>
    <n v="178229.7"/>
    <x v="1"/>
  </r>
  <r>
    <n v="134"/>
    <x v="1"/>
    <x v="3"/>
    <x v="1"/>
    <n v="1299"/>
    <n v="459"/>
    <n v="112"/>
    <n v="145488"/>
    <n v="51408"/>
    <x v="2"/>
  </r>
  <r>
    <n v="135"/>
    <x v="1"/>
    <x v="3"/>
    <x v="4"/>
    <n v="199"/>
    <n v="39"/>
    <n v="331.70000000000005"/>
    <n v="66008.3"/>
    <n v="12936.300000000001"/>
    <x v="0"/>
  </r>
  <r>
    <n v="136"/>
    <x v="1"/>
    <x v="1"/>
    <x v="4"/>
    <n v="199"/>
    <n v="39"/>
    <n v="171"/>
    <n v="34029"/>
    <n v="6669"/>
    <x v="0"/>
  </r>
  <r>
    <n v="137"/>
    <x v="1"/>
    <x v="3"/>
    <x v="1"/>
    <n v="1299"/>
    <n v="459"/>
    <n v="167.20000000000002"/>
    <n v="217192.80000000002"/>
    <n v="76744.800000000003"/>
    <x v="2"/>
  </r>
  <r>
    <n v="138"/>
    <x v="1"/>
    <x v="1"/>
    <x v="4"/>
    <n v="199"/>
    <n v="39"/>
    <n v="357.8"/>
    <n v="71202.2"/>
    <n v="13954.2"/>
    <x v="2"/>
  </r>
  <r>
    <n v="139"/>
    <x v="1"/>
    <x v="3"/>
    <x v="3"/>
    <n v="449"/>
    <n v="159"/>
    <n v="396.20000000000005"/>
    <n v="177893.80000000002"/>
    <n v="62995.80000000001"/>
    <x v="2"/>
  </r>
  <r>
    <n v="140"/>
    <x v="1"/>
    <x v="3"/>
    <x v="3"/>
    <n v="449"/>
    <n v="159"/>
    <n v="314.20000000000005"/>
    <n v="141075.80000000002"/>
    <n v="49957.80000000001"/>
    <x v="2"/>
  </r>
  <r>
    <n v="141"/>
    <x v="1"/>
    <x v="2"/>
    <x v="2"/>
    <n v="599"/>
    <n v="299"/>
    <n v="497.70000000000005"/>
    <n v="298122.30000000005"/>
    <n v="148812.30000000002"/>
    <x v="1"/>
  </r>
  <r>
    <n v="142"/>
    <x v="1"/>
    <x v="3"/>
    <x v="2"/>
    <n v="599"/>
    <n v="299"/>
    <n v="125.4"/>
    <n v="75114.600000000006"/>
    <n v="37494.6"/>
    <x v="3"/>
  </r>
  <r>
    <n v="143"/>
    <x v="1"/>
    <x v="1"/>
    <x v="4"/>
    <n v="199"/>
    <n v="39"/>
    <n v="411.20000000000005"/>
    <n v="81828.800000000003"/>
    <n v="16036.800000000001"/>
    <x v="3"/>
  </r>
  <r>
    <n v="144"/>
    <x v="1"/>
    <x v="1"/>
    <x v="4"/>
    <n v="199"/>
    <n v="39"/>
    <n v="194.3"/>
    <n v="38665.700000000004"/>
    <n v="7577.7000000000007"/>
    <x v="0"/>
  </r>
  <r>
    <n v="145"/>
    <x v="1"/>
    <x v="2"/>
    <x v="4"/>
    <n v="199"/>
    <n v="39"/>
    <n v="167.9"/>
    <n v="33412.1"/>
    <n v="6548.1"/>
    <x v="0"/>
  </r>
  <r>
    <n v="146"/>
    <x v="1"/>
    <x v="3"/>
    <x v="0"/>
    <n v="1099"/>
    <n v="289"/>
    <n v="132.20000000000002"/>
    <n v="145287.80000000002"/>
    <n v="38205.800000000003"/>
    <x v="0"/>
  </r>
  <r>
    <n v="147"/>
    <x v="1"/>
    <x v="2"/>
    <x v="0"/>
    <n v="1099"/>
    <n v="289"/>
    <n v="139.4"/>
    <n v="153200.6"/>
    <n v="40286.6"/>
    <x v="0"/>
  </r>
  <r>
    <n v="148"/>
    <x v="1"/>
    <x v="1"/>
    <x v="0"/>
    <n v="1099"/>
    <n v="289"/>
    <n v="106"/>
    <n v="116494"/>
    <n v="30634"/>
    <x v="0"/>
  </r>
  <r>
    <n v="149"/>
    <x v="1"/>
    <x v="2"/>
    <x v="2"/>
    <n v="599"/>
    <n v="299"/>
    <n v="271.90000000000003"/>
    <n v="162868.10000000003"/>
    <n v="81298.100000000006"/>
    <x v="3"/>
  </r>
  <r>
    <n v="150"/>
    <x v="1"/>
    <x v="1"/>
    <x v="4"/>
    <n v="199"/>
    <n v="39"/>
    <n v="236"/>
    <n v="46964"/>
    <n v="9204"/>
    <x v="1"/>
  </r>
  <r>
    <n v="151"/>
    <x v="1"/>
    <x v="2"/>
    <x v="1"/>
    <n v="1299"/>
    <n v="459"/>
    <n v="339.8"/>
    <n v="441400.2"/>
    <n v="155968.20000000001"/>
    <x v="1"/>
  </r>
  <r>
    <n v="152"/>
    <x v="1"/>
    <x v="2"/>
    <x v="2"/>
    <n v="599"/>
    <n v="299"/>
    <n v="403.6"/>
    <n v="241756.40000000002"/>
    <n v="120676.40000000001"/>
    <x v="2"/>
  </r>
  <r>
    <n v="153"/>
    <x v="1"/>
    <x v="3"/>
    <x v="1"/>
    <n v="1299"/>
    <n v="459"/>
    <n v="218.60000000000002"/>
    <n v="283961.40000000002"/>
    <n v="100337.40000000001"/>
    <x v="2"/>
  </r>
  <r>
    <n v="154"/>
    <x v="1"/>
    <x v="3"/>
    <x v="1"/>
    <n v="1299"/>
    <n v="459"/>
    <n v="462.20000000000005"/>
    <n v="600397.80000000005"/>
    <n v="212149.80000000002"/>
    <x v="1"/>
  </r>
  <r>
    <n v="155"/>
    <x v="1"/>
    <x v="1"/>
    <x v="3"/>
    <n v="449"/>
    <n v="159"/>
    <n v="210.9"/>
    <n v="94694.1"/>
    <n v="33533.1"/>
    <x v="2"/>
  </r>
  <r>
    <n v="156"/>
    <x v="1"/>
    <x v="2"/>
    <x v="3"/>
    <n v="449"/>
    <n v="159"/>
    <n v="453.40000000000003"/>
    <n v="203576.6"/>
    <n v="72090.600000000006"/>
    <x v="1"/>
  </r>
  <r>
    <n v="157"/>
    <x v="1"/>
    <x v="3"/>
    <x v="4"/>
    <n v="199"/>
    <n v="39"/>
    <n v="471.90000000000003"/>
    <n v="93908.1"/>
    <n v="18404.100000000002"/>
    <x v="1"/>
  </r>
  <r>
    <n v="158"/>
    <x v="1"/>
    <x v="2"/>
    <x v="3"/>
    <n v="449"/>
    <n v="159"/>
    <n v="128.30000000000001"/>
    <n v="57606.700000000004"/>
    <n v="20399.7"/>
    <x v="1"/>
  </r>
  <r>
    <n v="159"/>
    <x v="1"/>
    <x v="1"/>
    <x v="2"/>
    <n v="599"/>
    <n v="299"/>
    <n v="198.20000000000002"/>
    <n v="118721.80000000002"/>
    <n v="59261.8"/>
    <x v="1"/>
  </r>
  <r>
    <n v="160"/>
    <x v="1"/>
    <x v="2"/>
    <x v="2"/>
    <n v="599"/>
    <n v="299"/>
    <n v="300.3"/>
    <n v="179879.7"/>
    <n v="89789.7"/>
    <x v="1"/>
  </r>
  <r>
    <n v="161"/>
    <x v="1"/>
    <x v="3"/>
    <x v="0"/>
    <n v="1099"/>
    <n v="289"/>
    <n v="129.4"/>
    <n v="142210.6"/>
    <n v="37396.6"/>
    <x v="1"/>
  </r>
  <r>
    <n v="162"/>
    <x v="1"/>
    <x v="2"/>
    <x v="0"/>
    <n v="1099"/>
    <n v="289"/>
    <n v="341.70000000000005"/>
    <n v="375528.30000000005"/>
    <n v="98751.300000000017"/>
    <x v="1"/>
  </r>
  <r>
    <n v="163"/>
    <x v="1"/>
    <x v="1"/>
    <x v="2"/>
    <n v="599"/>
    <n v="299"/>
    <n v="155.60000000000002"/>
    <n v="93204.400000000009"/>
    <n v="46524.400000000009"/>
    <x v="0"/>
  </r>
  <r>
    <n v="164"/>
    <x v="1"/>
    <x v="2"/>
    <x v="1"/>
    <n v="1299"/>
    <n v="459"/>
    <n v="318.40000000000003"/>
    <n v="413601.60000000003"/>
    <n v="146145.60000000001"/>
    <x v="0"/>
  </r>
  <r>
    <n v="165"/>
    <x v="1"/>
    <x v="3"/>
    <x v="4"/>
    <n v="199"/>
    <n v="39"/>
    <n v="307.60000000000002"/>
    <n v="61212.4"/>
    <n v="11996.400000000001"/>
    <x v="0"/>
  </r>
  <r>
    <n v="166"/>
    <x v="1"/>
    <x v="2"/>
    <x v="1"/>
    <n v="1299"/>
    <n v="459"/>
    <n v="187.3"/>
    <n v="243302.7"/>
    <n v="85970.700000000012"/>
    <x v="0"/>
  </r>
  <r>
    <n v="167"/>
    <x v="1"/>
    <x v="1"/>
    <x v="4"/>
    <n v="199"/>
    <n v="39"/>
    <n v="157.4"/>
    <n v="31322.600000000002"/>
    <n v="6138.6"/>
    <x v="0"/>
  </r>
  <r>
    <n v="168"/>
    <x v="2"/>
    <x v="2"/>
    <x v="3"/>
    <n v="449"/>
    <n v="159"/>
    <n v="219.3"/>
    <n v="98465.700000000012"/>
    <n v="34868.700000000004"/>
    <x v="0"/>
  </r>
  <r>
    <n v="169"/>
    <x v="2"/>
    <x v="3"/>
    <x v="4"/>
    <n v="199"/>
    <n v="39"/>
    <n v="133"/>
    <n v="26467"/>
    <n v="5187"/>
    <x v="2"/>
  </r>
  <r>
    <n v="170"/>
    <x v="2"/>
    <x v="3"/>
    <x v="1"/>
    <n v="1299"/>
    <n v="459"/>
    <n v="357.6"/>
    <n v="464522.4"/>
    <n v="164138.40000000002"/>
    <x v="2"/>
  </r>
  <r>
    <n v="171"/>
    <x v="2"/>
    <x v="0"/>
    <x v="4"/>
    <n v="199"/>
    <n v="39"/>
    <n v="400.6"/>
    <n v="79719.400000000009"/>
    <n v="15623.400000000001"/>
    <x v="0"/>
  </r>
  <r>
    <n v="172"/>
    <x v="2"/>
    <x v="3"/>
    <x v="4"/>
    <n v="199"/>
    <n v="39"/>
    <n v="433.1"/>
    <n v="86186.900000000009"/>
    <n v="16890.900000000001"/>
    <x v="1"/>
  </r>
  <r>
    <n v="173"/>
    <x v="2"/>
    <x v="1"/>
    <x v="0"/>
    <n v="1099"/>
    <n v="289"/>
    <n v="205.9"/>
    <n v="226284.1"/>
    <n v="59505.1"/>
    <x v="1"/>
  </r>
  <r>
    <n v="174"/>
    <x v="2"/>
    <x v="1"/>
    <x v="4"/>
    <n v="199"/>
    <n v="39"/>
    <n v="436"/>
    <n v="86764"/>
    <n v="17004"/>
    <x v="1"/>
  </r>
  <r>
    <n v="175"/>
    <x v="2"/>
    <x v="0"/>
    <x v="2"/>
    <n v="599"/>
    <n v="299"/>
    <n v="114.7"/>
    <n v="68705.3"/>
    <n v="34295.300000000003"/>
    <x v="1"/>
  </r>
  <r>
    <n v="176"/>
    <x v="2"/>
    <x v="0"/>
    <x v="0"/>
    <n v="1099"/>
    <n v="289"/>
    <n v="213.8"/>
    <n v="234966.2"/>
    <n v="61788.200000000004"/>
    <x v="1"/>
  </r>
  <r>
    <n v="177"/>
    <x v="2"/>
    <x v="0"/>
    <x v="1"/>
    <n v="1299"/>
    <n v="459"/>
    <n v="124"/>
    <n v="161076"/>
    <n v="56916"/>
    <x v="1"/>
  </r>
  <r>
    <n v="178"/>
    <x v="2"/>
    <x v="1"/>
    <x v="4"/>
    <n v="199"/>
    <n v="39"/>
    <n v="285.10000000000002"/>
    <n v="56734.9"/>
    <n v="11118.900000000001"/>
    <x v="1"/>
  </r>
  <r>
    <n v="179"/>
    <x v="2"/>
    <x v="3"/>
    <x v="4"/>
    <n v="199"/>
    <n v="39"/>
    <n v="228.9"/>
    <n v="45551.1"/>
    <n v="8927.1"/>
    <x v="1"/>
  </r>
  <r>
    <n v="180"/>
    <x v="2"/>
    <x v="1"/>
    <x v="4"/>
    <n v="199"/>
    <n v="39"/>
    <n v="361"/>
    <n v="71839"/>
    <n v="14079"/>
    <x v="1"/>
  </r>
  <r>
    <n v="181"/>
    <x v="2"/>
    <x v="1"/>
    <x v="0"/>
    <n v="1099"/>
    <n v="289"/>
    <n v="425.70000000000005"/>
    <n v="467844.30000000005"/>
    <n v="123027.30000000002"/>
    <x v="0"/>
  </r>
  <r>
    <n v="182"/>
    <x v="2"/>
    <x v="1"/>
    <x v="4"/>
    <n v="199"/>
    <n v="39"/>
    <n v="233.3"/>
    <n v="46426.700000000004"/>
    <n v="9098.7000000000007"/>
    <x v="1"/>
  </r>
  <r>
    <n v="183"/>
    <x v="2"/>
    <x v="3"/>
    <x v="2"/>
    <n v="599"/>
    <n v="299"/>
    <n v="381.20000000000005"/>
    <n v="228338.80000000002"/>
    <n v="113978.80000000002"/>
    <x v="0"/>
  </r>
  <r>
    <n v="184"/>
    <x v="2"/>
    <x v="2"/>
    <x v="1"/>
    <n v="1299"/>
    <n v="459"/>
    <n v="415.3"/>
    <n v="539474.70000000007"/>
    <n v="190622.7"/>
    <x v="1"/>
  </r>
  <r>
    <n v="185"/>
    <x v="2"/>
    <x v="2"/>
    <x v="0"/>
    <n v="1099"/>
    <n v="289"/>
    <n v="250.4"/>
    <n v="275189.60000000003"/>
    <n v="72365.600000000006"/>
    <x v="2"/>
  </r>
  <r>
    <n v="186"/>
    <x v="2"/>
    <x v="2"/>
    <x v="3"/>
    <n v="449"/>
    <n v="159"/>
    <n v="280.10000000000002"/>
    <n v="125764.90000000001"/>
    <n v="44535.9"/>
    <x v="3"/>
  </r>
  <r>
    <n v="187"/>
    <x v="2"/>
    <x v="2"/>
    <x v="4"/>
    <n v="199"/>
    <n v="39"/>
    <n v="214.9"/>
    <n v="42765.1"/>
    <n v="8381.1"/>
    <x v="1"/>
  </r>
  <r>
    <n v="188"/>
    <x v="2"/>
    <x v="2"/>
    <x v="2"/>
    <n v="599"/>
    <n v="299"/>
    <n v="319.20000000000005"/>
    <n v="191200.80000000002"/>
    <n v="95440.800000000017"/>
    <x v="1"/>
  </r>
  <r>
    <n v="189"/>
    <x v="2"/>
    <x v="1"/>
    <x v="1"/>
    <n v="1299"/>
    <n v="459"/>
    <n v="209.9"/>
    <n v="272660.10000000003"/>
    <n v="96344.1"/>
    <x v="3"/>
  </r>
  <r>
    <n v="190"/>
    <x v="2"/>
    <x v="0"/>
    <x v="0"/>
    <n v="1099"/>
    <n v="289"/>
    <n v="197.9"/>
    <n v="217492.1"/>
    <n v="57193.1"/>
    <x v="1"/>
  </r>
  <r>
    <n v="191"/>
    <x v="2"/>
    <x v="3"/>
    <x v="0"/>
    <n v="1099"/>
    <n v="289"/>
    <n v="122.2"/>
    <n v="134297.80000000002"/>
    <n v="35315.800000000003"/>
    <x v="1"/>
  </r>
  <r>
    <n v="192"/>
    <x v="2"/>
    <x v="3"/>
    <x v="4"/>
    <n v="199"/>
    <n v="39"/>
    <n v="379.3"/>
    <n v="75480.7"/>
    <n v="14792.7"/>
    <x v="1"/>
  </r>
  <r>
    <n v="193"/>
    <x v="2"/>
    <x v="3"/>
    <x v="3"/>
    <n v="449"/>
    <n v="159"/>
    <n v="120.80000000000001"/>
    <n v="54239.200000000004"/>
    <n v="19207.2"/>
    <x v="3"/>
  </r>
  <r>
    <n v="194"/>
    <x v="2"/>
    <x v="1"/>
    <x v="3"/>
    <n v="449"/>
    <n v="159"/>
    <n v="454.3"/>
    <n v="203980.7"/>
    <n v="72233.7"/>
    <x v="1"/>
  </r>
  <r>
    <n v="195"/>
    <x v="2"/>
    <x v="0"/>
    <x v="4"/>
    <n v="199"/>
    <n v="39"/>
    <n v="245.8"/>
    <n v="48914.200000000004"/>
    <n v="9586.2000000000007"/>
    <x v="3"/>
  </r>
  <r>
    <n v="196"/>
    <x v="2"/>
    <x v="3"/>
    <x v="4"/>
    <n v="199"/>
    <n v="39"/>
    <n v="285.5"/>
    <n v="56814.5"/>
    <n v="11134.5"/>
    <x v="3"/>
  </r>
  <r>
    <n v="197"/>
    <x v="2"/>
    <x v="0"/>
    <x v="4"/>
    <n v="199"/>
    <n v="39"/>
    <n v="242.10000000000002"/>
    <n v="48177.9"/>
    <n v="9441.9000000000015"/>
    <x v="3"/>
  </r>
  <r>
    <n v="198"/>
    <x v="2"/>
    <x v="0"/>
    <x v="2"/>
    <n v="599"/>
    <n v="299"/>
    <n v="133.9"/>
    <n v="80206.100000000006"/>
    <n v="40036.1"/>
    <x v="2"/>
  </r>
  <r>
    <n v="199"/>
    <x v="2"/>
    <x v="0"/>
    <x v="2"/>
    <n v="599"/>
    <n v="299"/>
    <n v="288.60000000000002"/>
    <n v="172871.40000000002"/>
    <n v="86291.400000000009"/>
    <x v="2"/>
  </r>
  <r>
    <n v="200"/>
    <x v="2"/>
    <x v="0"/>
    <x v="4"/>
    <n v="199"/>
    <n v="39"/>
    <n v="200.10000000000002"/>
    <n v="39819.9"/>
    <n v="7803.9000000000005"/>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B70944-3428-4FF3-9B34-E5B65C747990}"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Region" colHeaderCaption="Years">
  <location ref="A5:E11" firstHeaderRow="1" firstDataRow="2" firstDataCol="1"/>
  <pivotFields count="10">
    <pivotField showAll="0"/>
    <pivotField axis="axisCol" showAll="0">
      <items count="4">
        <item x="0"/>
        <item x="1"/>
        <item x="2"/>
        <item t="default"/>
      </items>
    </pivotField>
    <pivotField axis="axisRow" showAll="0">
      <items count="5">
        <item x="2"/>
        <item x="0"/>
        <item x="3"/>
        <item x="1"/>
        <item t="default"/>
      </items>
    </pivotField>
    <pivotField showAll="0"/>
    <pivotField showAll="0"/>
    <pivotField numFmtId="164" showAll="0"/>
    <pivotField dataField="1" numFmtId="1" showAll="0"/>
    <pivotField numFmtId="164" showAll="0"/>
    <pivotField numFmtId="164" showAll="0"/>
    <pivotField showAll="0"/>
  </pivotFields>
  <rowFields count="1">
    <field x="2"/>
  </rowFields>
  <rowItems count="5">
    <i>
      <x/>
    </i>
    <i>
      <x v="1"/>
    </i>
    <i>
      <x v="2"/>
    </i>
    <i>
      <x v="3"/>
    </i>
    <i t="grand">
      <x/>
    </i>
  </rowItems>
  <colFields count="1">
    <field x="1"/>
  </colFields>
  <colItems count="4">
    <i>
      <x/>
    </i>
    <i>
      <x v="1"/>
    </i>
    <i>
      <x v="2"/>
    </i>
    <i t="grand">
      <x/>
    </i>
  </colItems>
  <dataFields count="1">
    <dataField name="Quantity Sold By Year" fld="6" baseField="0" baseItem="0" numFmtId="1"/>
  </dataFields>
  <formats count="5">
    <format dxfId="38">
      <pivotArea field="1" type="button" dataOnly="0" labelOnly="1" outline="0" axis="axisCol" fieldPosition="0"/>
    </format>
    <format dxfId="39">
      <pivotArea field="2" type="button" dataOnly="0" labelOnly="1" outline="0" axis="axisRow" fieldPosition="0"/>
    </format>
    <format dxfId="40">
      <pivotArea collapsedLevelsAreSubtotals="1" fieldPosition="0">
        <references count="1">
          <reference field="2" count="0"/>
        </references>
      </pivotArea>
    </format>
    <format dxfId="41">
      <pivotArea field="1" grandRow="1" outline="0" collapsedLevelsAreSubtotals="1" axis="axisCol" fieldPosition="0">
        <references count="1">
          <reference field="1" count="0" selected="0"/>
        </references>
      </pivotArea>
    </format>
    <format dxfId="42">
      <pivotArea dataOnly="0" labelOnly="1" fieldPosition="0">
        <references count="1">
          <reference field="1" count="0"/>
        </references>
      </pivotArea>
    </format>
  </format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0"/>
          </reference>
        </references>
      </pivotArea>
    </chartFormat>
    <chartFormat chart="1" format="4" series="1">
      <pivotArea type="data" outline="0" fieldPosition="0">
        <references count="2">
          <reference field="4294967294" count="1" selected="0">
            <x v="0"/>
          </reference>
          <reference field="1" count="1" selected="0">
            <x v="1"/>
          </reference>
        </references>
      </pivotArea>
    </chartFormat>
    <chartFormat chart="1" format="5"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075702-AA77-43C9-8F85-C3E61B40AFA0}"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Region" colHeaderCaption="Years">
  <location ref="A2:E8" firstHeaderRow="1" firstDataRow="2" firstDataCol="1"/>
  <pivotFields count="11">
    <pivotField showAll="0"/>
    <pivotField axis="axisCol" showAll="0">
      <items count="4">
        <item x="0"/>
        <item x="1"/>
        <item x="2"/>
        <item t="default"/>
      </items>
    </pivotField>
    <pivotField axis="axisRow" showAll="0">
      <items count="5">
        <item x="2"/>
        <item x="0"/>
        <item x="3"/>
        <item x="1"/>
        <item t="default"/>
      </items>
    </pivotField>
    <pivotField showAll="0"/>
    <pivotField dataField="1" showAll="0"/>
    <pivotField numFmtId="164" showAll="0"/>
    <pivotField numFmtId="1" showAll="0"/>
    <pivotField numFmtId="164" showAll="0"/>
    <pivotField numFmtId="164" showAll="0"/>
    <pivotField showAll="0"/>
    <pivotField dragToRow="0" dragToCol="0" dragToPage="0" showAll="0" defaultSubtotal="0"/>
  </pivotFields>
  <rowFields count="1">
    <field x="2"/>
  </rowFields>
  <rowItems count="5">
    <i>
      <x/>
    </i>
    <i>
      <x v="1"/>
    </i>
    <i>
      <x v="2"/>
    </i>
    <i>
      <x v="3"/>
    </i>
    <i t="grand">
      <x/>
    </i>
  </rowItems>
  <colFields count="1">
    <field x="1"/>
  </colFields>
  <colItems count="4">
    <i>
      <x/>
    </i>
    <i>
      <x v="1"/>
    </i>
    <i>
      <x v="2"/>
    </i>
    <i t="grand">
      <x/>
    </i>
  </colItems>
  <dataFields count="1">
    <dataField name="Average of Price per unit" fld="4" subtotal="average" baseField="2" baseItem="0" numFmtId="2"/>
  </dataFields>
  <formats count="3">
    <format dxfId="37">
      <pivotArea field="1" type="button" dataOnly="0" labelOnly="1" outline="0" axis="axisCol" fieldPosition="0"/>
    </format>
    <format dxfId="36">
      <pivotArea dataOnly="0" labelOnly="1" fieldPosition="0">
        <references count="1">
          <reference field="1" count="0"/>
        </references>
      </pivotArea>
    </format>
    <format dxfId="35">
      <pivotArea outline="0" collapsedLevelsAreSubtotals="1" fieldPosition="0">
        <references count="1">
          <reference field="1" count="0" selected="0"/>
        </references>
      </pivotArea>
    </format>
  </format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385045-D04D-438A-A31B-A78FE5FB3671}"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
  <location ref="A2:D7" firstHeaderRow="0" firstDataRow="1" firstDataCol="1"/>
  <pivotFields count="11">
    <pivotField showAll="0"/>
    <pivotField showAll="0"/>
    <pivotField axis="axisRow" showAll="0">
      <items count="5">
        <item x="2"/>
        <item x="0"/>
        <item x="3"/>
        <item x="1"/>
        <item t="default"/>
      </items>
    </pivotField>
    <pivotField showAll="0"/>
    <pivotField showAll="0"/>
    <pivotField numFmtId="164" showAll="0"/>
    <pivotField numFmtId="1" showAll="0"/>
    <pivotField dataField="1" numFmtId="164" showAll="0"/>
    <pivotField dataField="1" numFmtId="164" showAll="0"/>
    <pivotField showAll="0"/>
    <pivotField dataField="1" dragToRow="0" dragToCol="0" dragToPage="0" showAll="0" defaultSubtotal="0"/>
  </pivotFields>
  <rowFields count="1">
    <field x="2"/>
  </rowFields>
  <rowItems count="5">
    <i>
      <x/>
    </i>
    <i>
      <x v="1"/>
    </i>
    <i>
      <x v="2"/>
    </i>
    <i>
      <x v="3"/>
    </i>
    <i t="grand">
      <x/>
    </i>
  </rowItems>
  <colFields count="1">
    <field x="-2"/>
  </colFields>
  <colItems count="3">
    <i>
      <x/>
    </i>
    <i i="1">
      <x v="1"/>
    </i>
    <i i="2">
      <x v="2"/>
    </i>
  </colItems>
  <dataFields count="3">
    <dataField name=" Revenues" fld="7" baseField="0" baseItem="0" numFmtId="164"/>
    <dataField name=" Expenses" fld="8" baseField="0" baseItem="0" numFmtId="164"/>
    <dataField name=" Profit" fld="10" baseField="0" baseItem="0" numFmtId="164"/>
  </dataFields>
  <formats count="5">
    <format dxfId="34">
      <pivotArea dataOnly="0" labelOnly="1" outline="0" fieldPosition="0">
        <references count="1">
          <reference field="4294967294" count="3">
            <x v="0"/>
            <x v="1"/>
            <x v="2"/>
          </reference>
        </references>
      </pivotArea>
    </format>
    <format dxfId="33">
      <pivotArea collapsedLevelsAreSubtotals="1" fieldPosition="0">
        <references count="1">
          <reference field="2" count="0"/>
        </references>
      </pivotArea>
    </format>
    <format dxfId="32">
      <pivotArea outline="0" collapsedLevelsAreSubtotals="1" fieldPosition="0">
        <references count="1">
          <reference field="4294967294" count="1" selected="0">
            <x v="0"/>
          </reference>
        </references>
      </pivotArea>
    </format>
    <format dxfId="30">
      <pivotArea collapsedLevelsAreSubtotals="1" fieldPosition="0">
        <references count="2">
          <reference field="4294967294" count="1" selected="0">
            <x v="0"/>
          </reference>
          <reference field="2" count="0"/>
        </references>
      </pivotArea>
    </format>
    <format dxfId="25">
      <pivotArea field="2" type="button" dataOnly="0" labelOnly="1" outline="0" axis="axisRow" fieldPosition="0"/>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2150E5-33C9-4DBE-86CE-5AE35104442E}"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 Method" colHeaderCaption="Year">
  <location ref="A1:E27" firstHeaderRow="1" firstDataRow="2" firstDataCol="1"/>
  <pivotFields count="11">
    <pivotField showAll="0"/>
    <pivotField axis="axisCol" showAll="0">
      <items count="4">
        <item x="0"/>
        <item x="1"/>
        <item x="2"/>
        <item t="default"/>
      </items>
    </pivotField>
    <pivotField showAll="0">
      <items count="5">
        <item x="2"/>
        <item x="0"/>
        <item x="3"/>
        <item x="1"/>
        <item t="default"/>
      </items>
    </pivotField>
    <pivotField axis="axisRow" showAll="0">
      <items count="6">
        <item x="4"/>
        <item x="2"/>
        <item x="0"/>
        <item x="3"/>
        <item x="1"/>
        <item t="default"/>
      </items>
    </pivotField>
    <pivotField showAll="0"/>
    <pivotField numFmtId="164" showAll="0"/>
    <pivotField dataField="1" numFmtId="1" showAll="0"/>
    <pivotField numFmtId="164" showAll="0"/>
    <pivotField numFmtId="164" showAll="0"/>
    <pivotField axis="axisRow" showAll="0">
      <items count="5">
        <item x="0"/>
        <item x="2"/>
        <item x="3"/>
        <item x="1"/>
        <item t="default"/>
      </items>
    </pivotField>
    <pivotField dragToRow="0" dragToCol="0" dragToPage="0" showAll="0" defaultSubtotal="0"/>
  </pivotFields>
  <rowFields count="2">
    <field x="9"/>
    <field x="3"/>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Fields count="1">
    <field x="1"/>
  </colFields>
  <colItems count="4">
    <i>
      <x/>
    </i>
    <i>
      <x v="1"/>
    </i>
    <i>
      <x v="2"/>
    </i>
    <i t="grand">
      <x/>
    </i>
  </colItems>
  <dataFields count="1">
    <dataField name=" " fld="6" baseField="9" baseItem="0" numFmtId="1"/>
  </dataFields>
  <formats count="9">
    <format dxfId="8">
      <pivotArea grandCol="1" outline="0" collapsedLevelsAreSubtotals="1" fieldPosition="0"/>
    </format>
    <format dxfId="7">
      <pivotArea collapsedLevelsAreSubtotals="1" fieldPosition="0">
        <references count="2">
          <reference field="1" count="0" selected="0"/>
          <reference field="9" count="1">
            <x v="0"/>
          </reference>
        </references>
      </pivotArea>
    </format>
    <format dxfId="6">
      <pivotArea collapsedLevelsAreSubtotals="1" fieldPosition="0">
        <references count="3">
          <reference field="1" count="0" selected="0"/>
          <reference field="3" count="0"/>
          <reference field="9" count="1" selected="0">
            <x v="0"/>
          </reference>
        </references>
      </pivotArea>
    </format>
    <format dxfId="5">
      <pivotArea collapsedLevelsAreSubtotals="1" fieldPosition="0">
        <references count="2">
          <reference field="1" count="0" selected="0"/>
          <reference field="9" count="1">
            <x v="1"/>
          </reference>
        </references>
      </pivotArea>
    </format>
    <format dxfId="4">
      <pivotArea collapsedLevelsAreSubtotals="1" fieldPosition="0">
        <references count="3">
          <reference field="1" count="0" selected="0"/>
          <reference field="3" count="0"/>
          <reference field="9" count="1" selected="0">
            <x v="1"/>
          </reference>
        </references>
      </pivotArea>
    </format>
    <format dxfId="3">
      <pivotArea collapsedLevelsAreSubtotals="1" fieldPosition="0">
        <references count="2">
          <reference field="1" count="0" selected="0"/>
          <reference field="9" count="1">
            <x v="2"/>
          </reference>
        </references>
      </pivotArea>
    </format>
    <format dxfId="2">
      <pivotArea collapsedLevelsAreSubtotals="1" fieldPosition="0">
        <references count="3">
          <reference field="1" count="0" selected="0"/>
          <reference field="3" count="0"/>
          <reference field="9" count="1" selected="0">
            <x v="2"/>
          </reference>
        </references>
      </pivotArea>
    </format>
    <format dxfId="1">
      <pivotArea collapsedLevelsAreSubtotals="1" fieldPosition="0">
        <references count="2">
          <reference field="1" count="0" selected="0"/>
          <reference field="9" count="1">
            <x v="3"/>
          </reference>
        </references>
      </pivotArea>
    </format>
    <format dxfId="0">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78221AE-E5C7-425F-A40D-7C83F3961F1F}" sourceName="Year">
  <pivotTables>
    <pivotTable tabId="6" name="PivotTable5"/>
  </pivotTables>
  <data>
    <tabular pivotCacheId="126851388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6A9CA51-6960-4D4F-B9A0-AA2DD0DC2D9C}" sourceName="Region">
  <pivotTables>
    <pivotTable tabId="6" name="PivotTable5"/>
  </pivotTables>
  <data>
    <tabular pivotCacheId="1268513882">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C019E1AF-DD66-4CD4-8EBB-107CD673A6A7}" sourceName="Sales Method">
  <pivotTables>
    <pivotTable tabId="6" name="PivotTable5"/>
  </pivotTables>
  <data>
    <tabular pivotCacheId="1268513882">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229790F-FCD4-454C-A3CC-32EA0EECF306}" cache="Slicer_Year" caption="Select Year" rowHeight="257175"/>
  <slicer name="Region" xr10:uid="{FF59FC40-01C1-438A-A6E0-6C2F2ACDBE4C}" cache="Slicer_Region" caption="Region" rowHeight="257175"/>
  <slicer name="Sales Method" xr10:uid="{37321B4B-C6EF-416D-85B5-EF6331C0BF64}" cache="Slicer_Sales_Method" caption="Sales Method" rowHeight="257175"/>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40680-69D8-41D9-8EEC-036C11767715}">
  <dimension ref="A1:X1000"/>
  <sheetViews>
    <sheetView showGridLines="0" topLeftCell="B3" workbookViewId="0">
      <selection activeCell="C12" sqref="C12"/>
    </sheetView>
  </sheetViews>
  <sheetFormatPr defaultColWidth="11.25" defaultRowHeight="15" customHeight="1" x14ac:dyDescent="0.25"/>
  <cols>
    <col min="1" max="1" width="11.125" customWidth="1"/>
    <col min="2" max="2" width="10.125" customWidth="1"/>
    <col min="3" max="3" width="15.75" customWidth="1"/>
    <col min="4" max="4" width="13" customWidth="1"/>
    <col min="5" max="5" width="8.5" customWidth="1"/>
    <col min="6" max="7" width="11.625" customWidth="1"/>
    <col min="8" max="8" width="15" customWidth="1"/>
    <col min="9" max="9" width="12.375" customWidth="1"/>
    <col min="10" max="26" width="11.125" customWidth="1"/>
  </cols>
  <sheetData>
    <row r="1" spans="1:24" ht="15.75" customHeight="1" x14ac:dyDescent="0.25">
      <c r="H1" s="6"/>
    </row>
    <row r="2" spans="1:24" ht="15.75" customHeight="1" x14ac:dyDescent="0.25">
      <c r="B2" s="7" t="s">
        <v>9</v>
      </c>
      <c r="C2" s="8"/>
      <c r="D2" s="8"/>
      <c r="E2" s="8"/>
      <c r="F2" s="8"/>
      <c r="G2" s="8"/>
      <c r="H2" s="8"/>
      <c r="I2" s="8"/>
      <c r="J2" s="8"/>
      <c r="K2" s="8"/>
    </row>
    <row r="3" spans="1:24" ht="15.75" customHeight="1" x14ac:dyDescent="0.25">
      <c r="A3" s="9"/>
      <c r="B3" s="10" t="s">
        <v>10</v>
      </c>
      <c r="C3" s="10" t="s">
        <v>11</v>
      </c>
      <c r="D3" s="10" t="s">
        <v>3</v>
      </c>
      <c r="E3" s="10" t="s">
        <v>12</v>
      </c>
      <c r="F3" s="10" t="s">
        <v>13</v>
      </c>
      <c r="G3" s="10" t="s">
        <v>14</v>
      </c>
      <c r="H3" s="10" t="s">
        <v>15</v>
      </c>
      <c r="I3" s="10" t="s">
        <v>16</v>
      </c>
      <c r="J3" s="10" t="s">
        <v>17</v>
      </c>
      <c r="K3" s="10" t="s">
        <v>18</v>
      </c>
    </row>
    <row r="4" spans="1:24" ht="15.75" customHeight="1" x14ac:dyDescent="0.25">
      <c r="B4" s="11">
        <v>101</v>
      </c>
      <c r="C4" s="9">
        <v>2019</v>
      </c>
      <c r="D4" s="11" t="s">
        <v>6</v>
      </c>
      <c r="E4" s="11" t="s">
        <v>19</v>
      </c>
      <c r="F4" s="12">
        <v>1099</v>
      </c>
      <c r="G4" s="13">
        <v>289</v>
      </c>
      <c r="H4" s="14">
        <v>313.5</v>
      </c>
      <c r="I4" s="13">
        <f t="shared" ref="I4:I103" si="0">F4*H4</f>
        <v>344536.5</v>
      </c>
      <c r="J4" s="13">
        <f t="shared" ref="J4:J103" si="1">G4*H4</f>
        <v>90601.5</v>
      </c>
      <c r="K4" s="11" t="s">
        <v>20</v>
      </c>
    </row>
    <row r="5" spans="1:24" ht="15.75" customHeight="1" x14ac:dyDescent="0.25">
      <c r="B5" s="11">
        <v>102</v>
      </c>
      <c r="C5" s="9">
        <v>2019</v>
      </c>
      <c r="D5" s="11" t="s">
        <v>8</v>
      </c>
      <c r="E5" s="11" t="s">
        <v>19</v>
      </c>
      <c r="F5" s="12">
        <v>1099</v>
      </c>
      <c r="G5" s="13">
        <v>289</v>
      </c>
      <c r="H5" s="14">
        <v>300.7</v>
      </c>
      <c r="I5" s="13">
        <f t="shared" si="0"/>
        <v>330469.3</v>
      </c>
      <c r="J5" s="13">
        <f t="shared" si="1"/>
        <v>86902.3</v>
      </c>
      <c r="K5" s="11" t="s">
        <v>21</v>
      </c>
    </row>
    <row r="6" spans="1:24" ht="15.75" customHeight="1" x14ac:dyDescent="0.25">
      <c r="B6" s="11">
        <v>103</v>
      </c>
      <c r="C6" s="9">
        <v>2019</v>
      </c>
      <c r="D6" s="11" t="s">
        <v>5</v>
      </c>
      <c r="E6" s="11" t="s">
        <v>22</v>
      </c>
      <c r="F6" s="12">
        <v>1299</v>
      </c>
      <c r="G6" s="13">
        <v>459</v>
      </c>
      <c r="H6" s="14">
        <v>3</v>
      </c>
      <c r="I6" s="13">
        <f t="shared" si="0"/>
        <v>3897</v>
      </c>
      <c r="J6" s="13">
        <f t="shared" si="1"/>
        <v>1377</v>
      </c>
      <c r="K6" s="11" t="s">
        <v>23</v>
      </c>
    </row>
    <row r="7" spans="1:24" ht="15.75" customHeight="1" x14ac:dyDescent="0.25">
      <c r="B7" s="11">
        <v>104</v>
      </c>
      <c r="C7" s="9">
        <v>2019</v>
      </c>
      <c r="D7" s="11" t="s">
        <v>7</v>
      </c>
      <c r="E7" s="11" t="s">
        <v>24</v>
      </c>
      <c r="F7" s="12">
        <v>599</v>
      </c>
      <c r="G7" s="13">
        <v>299</v>
      </c>
      <c r="H7" s="14">
        <v>109</v>
      </c>
      <c r="I7" s="13">
        <f t="shared" si="0"/>
        <v>65291</v>
      </c>
      <c r="J7" s="13">
        <f t="shared" si="1"/>
        <v>32591</v>
      </c>
      <c r="K7" s="11" t="s">
        <v>25</v>
      </c>
    </row>
    <row r="8" spans="1:24" ht="15.75" customHeight="1" x14ac:dyDescent="0.25">
      <c r="B8" s="11">
        <v>105</v>
      </c>
      <c r="C8" s="9">
        <v>2019</v>
      </c>
      <c r="D8" s="11" t="s">
        <v>7</v>
      </c>
      <c r="E8" s="11" t="s">
        <v>26</v>
      </c>
      <c r="F8" s="12">
        <v>449</v>
      </c>
      <c r="G8" s="13">
        <v>159</v>
      </c>
      <c r="H8" s="14">
        <v>450.90000000000003</v>
      </c>
      <c r="I8" s="13">
        <f t="shared" si="0"/>
        <v>202454.1</v>
      </c>
      <c r="J8" s="13">
        <f t="shared" si="1"/>
        <v>71693.100000000006</v>
      </c>
      <c r="K8" s="11" t="s">
        <v>23</v>
      </c>
    </row>
    <row r="9" spans="1:24" ht="15.75" customHeight="1" x14ac:dyDescent="0.25">
      <c r="B9" s="11">
        <v>106</v>
      </c>
      <c r="C9" s="9">
        <v>2019</v>
      </c>
      <c r="D9" s="11" t="s">
        <v>7</v>
      </c>
      <c r="E9" s="11" t="s">
        <v>27</v>
      </c>
      <c r="F9" s="12">
        <v>199</v>
      </c>
      <c r="G9" s="13">
        <v>39</v>
      </c>
      <c r="H9" s="14">
        <v>270.90000000000003</v>
      </c>
      <c r="I9" s="13">
        <f t="shared" si="0"/>
        <v>53909.100000000006</v>
      </c>
      <c r="J9" s="13">
        <f t="shared" si="1"/>
        <v>10565.100000000002</v>
      </c>
      <c r="K9" s="11" t="s">
        <v>23</v>
      </c>
    </row>
    <row r="10" spans="1:24" ht="15.75" customHeight="1" x14ac:dyDescent="0.25">
      <c r="B10" s="11">
        <v>107</v>
      </c>
      <c r="C10" s="9">
        <v>2019</v>
      </c>
      <c r="D10" s="11" t="s">
        <v>7</v>
      </c>
      <c r="E10" s="11" t="s">
        <v>27</v>
      </c>
      <c r="F10" s="12">
        <v>199</v>
      </c>
      <c r="G10" s="13">
        <v>39</v>
      </c>
      <c r="H10" s="14">
        <v>443.1</v>
      </c>
      <c r="I10" s="13">
        <f t="shared" si="0"/>
        <v>88176.900000000009</v>
      </c>
      <c r="J10" s="13">
        <f t="shared" si="1"/>
        <v>17280.900000000001</v>
      </c>
      <c r="K10" s="11" t="s">
        <v>20</v>
      </c>
    </row>
    <row r="11" spans="1:24" ht="15.75" customHeight="1" x14ac:dyDescent="0.25">
      <c r="B11" s="11">
        <v>108</v>
      </c>
      <c r="C11" s="9">
        <v>2019</v>
      </c>
      <c r="D11" s="11" t="s">
        <v>6</v>
      </c>
      <c r="E11" s="11" t="s">
        <v>27</v>
      </c>
      <c r="F11" s="12">
        <v>199</v>
      </c>
      <c r="G11" s="13">
        <v>39</v>
      </c>
      <c r="H11" s="14">
        <v>459.3</v>
      </c>
      <c r="I11" s="13">
        <f t="shared" si="0"/>
        <v>91400.7</v>
      </c>
      <c r="J11" s="13">
        <f t="shared" si="1"/>
        <v>17912.7</v>
      </c>
      <c r="K11" s="11" t="s">
        <v>23</v>
      </c>
    </row>
    <row r="12" spans="1:24" ht="15.75" customHeight="1" x14ac:dyDescent="0.25">
      <c r="B12" s="11">
        <v>109</v>
      </c>
      <c r="C12" s="9">
        <v>2019</v>
      </c>
      <c r="D12" s="11" t="s">
        <v>8</v>
      </c>
      <c r="E12" s="11" t="s">
        <v>19</v>
      </c>
      <c r="F12" s="11">
        <v>1099</v>
      </c>
      <c r="G12" s="13">
        <v>289</v>
      </c>
      <c r="H12" s="14">
        <v>222.5</v>
      </c>
      <c r="I12" s="13">
        <f t="shared" si="0"/>
        <v>244527.5</v>
      </c>
      <c r="J12" s="13">
        <f t="shared" si="1"/>
        <v>64302.5</v>
      </c>
      <c r="K12" s="11" t="s">
        <v>23</v>
      </c>
    </row>
    <row r="13" spans="1:24" ht="15.75" customHeight="1" x14ac:dyDescent="0.25">
      <c r="B13" s="11">
        <v>110</v>
      </c>
      <c r="C13" s="9">
        <v>2019</v>
      </c>
      <c r="D13" s="11" t="s">
        <v>5</v>
      </c>
      <c r="E13" s="11" t="s">
        <v>22</v>
      </c>
      <c r="F13" s="12">
        <v>1299</v>
      </c>
      <c r="G13" s="13">
        <v>459</v>
      </c>
      <c r="H13" s="14">
        <v>479.40000000000003</v>
      </c>
      <c r="I13" s="13">
        <f t="shared" si="0"/>
        <v>622740.60000000009</v>
      </c>
      <c r="J13" s="13">
        <f t="shared" si="1"/>
        <v>220044.6</v>
      </c>
      <c r="K13" s="15" t="s">
        <v>20</v>
      </c>
    </row>
    <row r="14" spans="1:24" ht="15.75" customHeight="1" x14ac:dyDescent="0.25">
      <c r="B14" s="11">
        <v>111</v>
      </c>
      <c r="C14" s="9">
        <v>2019</v>
      </c>
      <c r="D14" s="11" t="s">
        <v>5</v>
      </c>
      <c r="E14" s="11" t="s">
        <v>22</v>
      </c>
      <c r="F14" s="12">
        <v>1299</v>
      </c>
      <c r="G14" s="13">
        <v>459</v>
      </c>
      <c r="H14" s="14">
        <v>301.2</v>
      </c>
      <c r="I14" s="13">
        <f t="shared" si="0"/>
        <v>391258.8</v>
      </c>
      <c r="J14" s="13">
        <f t="shared" si="1"/>
        <v>138250.79999999999</v>
      </c>
      <c r="K14" s="15" t="s">
        <v>20</v>
      </c>
    </row>
    <row r="15" spans="1:24" ht="15.75" customHeight="1" x14ac:dyDescent="0.25">
      <c r="B15" s="11">
        <v>112</v>
      </c>
      <c r="C15" s="9">
        <v>2019</v>
      </c>
      <c r="D15" s="11" t="s">
        <v>5</v>
      </c>
      <c r="E15" s="11" t="s">
        <v>27</v>
      </c>
      <c r="F15" s="12">
        <v>199</v>
      </c>
      <c r="G15" s="13">
        <v>39</v>
      </c>
      <c r="H15" s="14">
        <v>315.10000000000002</v>
      </c>
      <c r="I15" s="13">
        <f t="shared" si="0"/>
        <v>62704.9</v>
      </c>
      <c r="J15" s="13">
        <f t="shared" si="1"/>
        <v>12288.900000000001</v>
      </c>
      <c r="K15" s="15" t="s">
        <v>20</v>
      </c>
    </row>
    <row r="16" spans="1:24" ht="15.75" customHeight="1" x14ac:dyDescent="0.25">
      <c r="B16" s="11">
        <v>113</v>
      </c>
      <c r="C16" s="9">
        <v>2019</v>
      </c>
      <c r="D16" s="11" t="s">
        <v>6</v>
      </c>
      <c r="E16" s="11" t="s">
        <v>19</v>
      </c>
      <c r="F16" s="11">
        <v>1099</v>
      </c>
      <c r="G16" s="13">
        <v>289</v>
      </c>
      <c r="H16" s="14">
        <v>142.4</v>
      </c>
      <c r="I16" s="13">
        <f t="shared" si="0"/>
        <v>156497.60000000001</v>
      </c>
      <c r="J16" s="13">
        <f t="shared" si="1"/>
        <v>41153.599999999999</v>
      </c>
      <c r="K16" s="15" t="s">
        <v>20</v>
      </c>
      <c r="L16" s="6"/>
      <c r="N16" s="6"/>
      <c r="O16" s="6"/>
      <c r="P16" s="6"/>
      <c r="Q16" s="6"/>
      <c r="R16" s="6"/>
      <c r="S16" s="6"/>
      <c r="W16" s="6"/>
      <c r="X16" s="6"/>
    </row>
    <row r="17" spans="2:11" ht="15.75" customHeight="1" x14ac:dyDescent="0.25">
      <c r="B17" s="11">
        <v>114</v>
      </c>
      <c r="C17" s="9">
        <v>2019</v>
      </c>
      <c r="D17" s="11" t="s">
        <v>8</v>
      </c>
      <c r="E17" s="11" t="s">
        <v>26</v>
      </c>
      <c r="F17" s="12">
        <v>449</v>
      </c>
      <c r="G17" s="13">
        <v>159</v>
      </c>
      <c r="H17" s="14">
        <v>311</v>
      </c>
      <c r="I17" s="13">
        <f t="shared" si="0"/>
        <v>139639</v>
      </c>
      <c r="J17" s="13">
        <f t="shared" si="1"/>
        <v>49449</v>
      </c>
      <c r="K17" s="15" t="s">
        <v>20</v>
      </c>
    </row>
    <row r="18" spans="2:11" ht="15.75" customHeight="1" x14ac:dyDescent="0.25">
      <c r="B18" s="11">
        <v>115</v>
      </c>
      <c r="C18" s="9">
        <v>2019</v>
      </c>
      <c r="D18" s="11" t="s">
        <v>5</v>
      </c>
      <c r="E18" s="11" t="s">
        <v>24</v>
      </c>
      <c r="F18" s="12">
        <v>599</v>
      </c>
      <c r="G18" s="13">
        <v>299</v>
      </c>
      <c r="H18" s="14">
        <v>378.20000000000005</v>
      </c>
      <c r="I18" s="13">
        <f t="shared" si="0"/>
        <v>226541.80000000002</v>
      </c>
      <c r="J18" s="13">
        <f t="shared" si="1"/>
        <v>113081.80000000002</v>
      </c>
      <c r="K18" s="15" t="s">
        <v>20</v>
      </c>
    </row>
    <row r="19" spans="2:11" ht="15.75" customHeight="1" x14ac:dyDescent="0.25">
      <c r="B19" s="11">
        <v>116</v>
      </c>
      <c r="C19" s="9">
        <v>2019</v>
      </c>
      <c r="D19" s="11" t="s">
        <v>5</v>
      </c>
      <c r="E19" s="11" t="s">
        <v>26</v>
      </c>
      <c r="F19" s="12">
        <v>449</v>
      </c>
      <c r="G19" s="13">
        <v>159</v>
      </c>
      <c r="H19" s="14">
        <v>291.90000000000003</v>
      </c>
      <c r="I19" s="13">
        <f t="shared" si="0"/>
        <v>131063.10000000002</v>
      </c>
      <c r="J19" s="13">
        <f t="shared" si="1"/>
        <v>46412.100000000006</v>
      </c>
      <c r="K19" s="11" t="s">
        <v>25</v>
      </c>
    </row>
    <row r="20" spans="2:11" ht="15.75" customHeight="1" x14ac:dyDescent="0.25">
      <c r="B20" s="11">
        <v>117</v>
      </c>
      <c r="C20" s="9">
        <v>2019</v>
      </c>
      <c r="D20" s="11" t="s">
        <v>5</v>
      </c>
      <c r="E20" s="11" t="s">
        <v>19</v>
      </c>
      <c r="F20" s="11">
        <v>1099</v>
      </c>
      <c r="G20" s="13">
        <v>289</v>
      </c>
      <c r="H20" s="14">
        <v>479.3</v>
      </c>
      <c r="I20" s="13">
        <f t="shared" si="0"/>
        <v>526750.70000000007</v>
      </c>
      <c r="J20" s="13">
        <f t="shared" si="1"/>
        <v>138517.70000000001</v>
      </c>
      <c r="K20" s="11" t="s">
        <v>25</v>
      </c>
    </row>
    <row r="21" spans="2:11" ht="15.75" customHeight="1" x14ac:dyDescent="0.25">
      <c r="B21" s="11">
        <v>118</v>
      </c>
      <c r="C21" s="9">
        <v>2019</v>
      </c>
      <c r="D21" s="11" t="s">
        <v>6</v>
      </c>
      <c r="E21" s="11" t="s">
        <v>26</v>
      </c>
      <c r="F21" s="12">
        <v>449</v>
      </c>
      <c r="G21" s="13">
        <v>159</v>
      </c>
      <c r="H21" s="14">
        <v>115.10000000000001</v>
      </c>
      <c r="I21" s="13">
        <f t="shared" si="0"/>
        <v>51679.9</v>
      </c>
      <c r="J21" s="13">
        <f t="shared" si="1"/>
        <v>18300.900000000001</v>
      </c>
      <c r="K21" s="11" t="s">
        <v>21</v>
      </c>
    </row>
    <row r="22" spans="2:11" ht="15.75" customHeight="1" x14ac:dyDescent="0.25">
      <c r="B22" s="11">
        <v>119</v>
      </c>
      <c r="C22" s="9">
        <v>2019</v>
      </c>
      <c r="D22" s="11" t="s">
        <v>5</v>
      </c>
      <c r="E22" s="11" t="s">
        <v>19</v>
      </c>
      <c r="F22" s="11">
        <v>1099</v>
      </c>
      <c r="G22" s="13">
        <v>289</v>
      </c>
      <c r="H22" s="14">
        <v>347.8</v>
      </c>
      <c r="I22" s="13">
        <f t="shared" si="0"/>
        <v>382232.2</v>
      </c>
      <c r="J22" s="13">
        <f t="shared" si="1"/>
        <v>100514.2</v>
      </c>
      <c r="K22" s="11" t="s">
        <v>25</v>
      </c>
    </row>
    <row r="23" spans="2:11" ht="15.75" customHeight="1" x14ac:dyDescent="0.25">
      <c r="B23" s="11">
        <v>120</v>
      </c>
      <c r="C23" s="9">
        <v>2019</v>
      </c>
      <c r="D23" s="11" t="s">
        <v>5</v>
      </c>
      <c r="E23" s="11" t="s">
        <v>22</v>
      </c>
      <c r="F23" s="12">
        <v>1299</v>
      </c>
      <c r="G23" s="13">
        <v>459</v>
      </c>
      <c r="H23" s="14">
        <v>222.4</v>
      </c>
      <c r="I23" s="13">
        <f t="shared" si="0"/>
        <v>288897.60000000003</v>
      </c>
      <c r="J23" s="13">
        <f t="shared" si="1"/>
        <v>102081.60000000001</v>
      </c>
      <c r="K23" s="11" t="s">
        <v>25</v>
      </c>
    </row>
    <row r="24" spans="2:11" ht="15.75" customHeight="1" x14ac:dyDescent="0.25">
      <c r="B24" s="11">
        <v>121</v>
      </c>
      <c r="C24" s="9">
        <v>2019</v>
      </c>
      <c r="D24" s="11" t="s">
        <v>5</v>
      </c>
      <c r="E24" s="11" t="s">
        <v>19</v>
      </c>
      <c r="F24" s="11">
        <v>1099</v>
      </c>
      <c r="G24" s="13">
        <v>289</v>
      </c>
      <c r="H24" s="14">
        <v>276.5</v>
      </c>
      <c r="I24" s="13">
        <f t="shared" si="0"/>
        <v>303873.5</v>
      </c>
      <c r="J24" s="13">
        <f t="shared" si="1"/>
        <v>79908.5</v>
      </c>
      <c r="K24" s="11" t="s">
        <v>23</v>
      </c>
    </row>
    <row r="25" spans="2:11" ht="15.75" customHeight="1" x14ac:dyDescent="0.25">
      <c r="B25" s="11">
        <v>122</v>
      </c>
      <c r="C25" s="9">
        <v>2019</v>
      </c>
      <c r="D25" s="11" t="s">
        <v>6</v>
      </c>
      <c r="E25" s="11" t="s">
        <v>19</v>
      </c>
      <c r="F25" s="11">
        <v>1099</v>
      </c>
      <c r="G25" s="13">
        <v>289</v>
      </c>
      <c r="H25" s="14">
        <v>151.20000000000002</v>
      </c>
      <c r="I25" s="13">
        <f t="shared" si="0"/>
        <v>166168.80000000002</v>
      </c>
      <c r="J25" s="13">
        <f t="shared" si="1"/>
        <v>43696.800000000003</v>
      </c>
      <c r="K25" s="11" t="s">
        <v>23</v>
      </c>
    </row>
    <row r="26" spans="2:11" ht="15.75" customHeight="1" x14ac:dyDescent="0.25">
      <c r="B26" s="11">
        <v>123</v>
      </c>
      <c r="C26" s="9">
        <v>2019</v>
      </c>
      <c r="D26" s="11" t="s">
        <v>6</v>
      </c>
      <c r="E26" s="11" t="s">
        <v>27</v>
      </c>
      <c r="F26" s="12">
        <v>199</v>
      </c>
      <c r="G26" s="13">
        <v>39</v>
      </c>
      <c r="H26" s="14">
        <v>171.60000000000002</v>
      </c>
      <c r="I26" s="13">
        <f t="shared" si="0"/>
        <v>34148.400000000001</v>
      </c>
      <c r="J26" s="13">
        <f t="shared" si="1"/>
        <v>6692.4000000000005</v>
      </c>
      <c r="K26" s="11" t="s">
        <v>23</v>
      </c>
    </row>
    <row r="27" spans="2:11" ht="15.75" customHeight="1" x14ac:dyDescent="0.25">
      <c r="B27" s="11">
        <v>124</v>
      </c>
      <c r="C27" s="9">
        <v>2019</v>
      </c>
      <c r="D27" s="11" t="s">
        <v>8</v>
      </c>
      <c r="E27" s="11" t="s">
        <v>24</v>
      </c>
      <c r="F27" s="12">
        <v>599</v>
      </c>
      <c r="G27" s="13">
        <v>299</v>
      </c>
      <c r="H27" s="14">
        <v>365.40000000000003</v>
      </c>
      <c r="I27" s="13">
        <f t="shared" si="0"/>
        <v>218874.60000000003</v>
      </c>
      <c r="J27" s="13">
        <f t="shared" si="1"/>
        <v>109254.6</v>
      </c>
      <c r="K27" s="11" t="s">
        <v>23</v>
      </c>
    </row>
    <row r="28" spans="2:11" ht="15.75" customHeight="1" x14ac:dyDescent="0.25">
      <c r="B28" s="11">
        <v>125</v>
      </c>
      <c r="C28" s="9">
        <v>2019</v>
      </c>
      <c r="D28" s="11" t="s">
        <v>8</v>
      </c>
      <c r="E28" s="11" t="s">
        <v>22</v>
      </c>
      <c r="F28" s="12">
        <v>1299</v>
      </c>
      <c r="G28" s="13">
        <v>459</v>
      </c>
      <c r="H28" s="14">
        <v>156.10000000000002</v>
      </c>
      <c r="I28" s="13">
        <f t="shared" si="0"/>
        <v>202773.90000000002</v>
      </c>
      <c r="J28" s="13">
        <f t="shared" si="1"/>
        <v>71649.900000000009</v>
      </c>
      <c r="K28" s="15" t="s">
        <v>20</v>
      </c>
    </row>
    <row r="29" spans="2:11" ht="15.75" customHeight="1" x14ac:dyDescent="0.25">
      <c r="B29" s="11">
        <v>126</v>
      </c>
      <c r="C29" s="9">
        <v>2019</v>
      </c>
      <c r="D29" s="11" t="s">
        <v>6</v>
      </c>
      <c r="E29" s="11" t="s">
        <v>22</v>
      </c>
      <c r="F29" s="12">
        <v>1299</v>
      </c>
      <c r="G29" s="13">
        <v>459</v>
      </c>
      <c r="H29" s="14">
        <v>208.3</v>
      </c>
      <c r="I29" s="13">
        <f t="shared" si="0"/>
        <v>270581.7</v>
      </c>
      <c r="J29" s="13">
        <f t="shared" si="1"/>
        <v>95609.700000000012</v>
      </c>
      <c r="K29" s="11" t="s">
        <v>23</v>
      </c>
    </row>
    <row r="30" spans="2:11" ht="15.75" customHeight="1" x14ac:dyDescent="0.25">
      <c r="B30" s="11">
        <v>127</v>
      </c>
      <c r="C30" s="9">
        <v>2019</v>
      </c>
      <c r="D30" s="11" t="s">
        <v>8</v>
      </c>
      <c r="E30" s="11" t="s">
        <v>22</v>
      </c>
      <c r="F30" s="12">
        <v>1299</v>
      </c>
      <c r="G30" s="13">
        <v>459</v>
      </c>
      <c r="H30" s="14">
        <v>267.3</v>
      </c>
      <c r="I30" s="13">
        <f t="shared" si="0"/>
        <v>347222.7</v>
      </c>
      <c r="J30" s="13">
        <f t="shared" si="1"/>
        <v>122690.70000000001</v>
      </c>
      <c r="K30" s="15" t="s">
        <v>20</v>
      </c>
    </row>
    <row r="31" spans="2:11" ht="15.75" customHeight="1" x14ac:dyDescent="0.25">
      <c r="B31" s="11">
        <v>128</v>
      </c>
      <c r="C31" s="9">
        <v>2019</v>
      </c>
      <c r="D31" s="11" t="s">
        <v>8</v>
      </c>
      <c r="E31" s="11" t="s">
        <v>24</v>
      </c>
      <c r="F31" s="12">
        <v>599</v>
      </c>
      <c r="G31" s="13">
        <v>299</v>
      </c>
      <c r="H31" s="14">
        <v>338.5</v>
      </c>
      <c r="I31" s="13">
        <f t="shared" si="0"/>
        <v>202761.5</v>
      </c>
      <c r="J31" s="13">
        <f t="shared" si="1"/>
        <v>101211.5</v>
      </c>
      <c r="K31" s="15" t="s">
        <v>20</v>
      </c>
    </row>
    <row r="32" spans="2:11" ht="15.75" customHeight="1" x14ac:dyDescent="0.25">
      <c r="B32" s="11">
        <v>129</v>
      </c>
      <c r="C32" s="9">
        <v>2019</v>
      </c>
      <c r="D32" s="11" t="s">
        <v>5</v>
      </c>
      <c r="E32" s="11" t="s">
        <v>19</v>
      </c>
      <c r="F32" s="11">
        <v>1099</v>
      </c>
      <c r="G32" s="13">
        <v>289</v>
      </c>
      <c r="H32" s="14">
        <v>321.8</v>
      </c>
      <c r="I32" s="13">
        <f t="shared" si="0"/>
        <v>353658.2</v>
      </c>
      <c r="J32" s="13">
        <f t="shared" si="1"/>
        <v>93000.2</v>
      </c>
      <c r="K32" s="11" t="s">
        <v>23</v>
      </c>
    </row>
    <row r="33" spans="2:11" ht="15.75" customHeight="1" x14ac:dyDescent="0.25">
      <c r="B33" s="11">
        <v>130</v>
      </c>
      <c r="C33" s="9">
        <v>2019</v>
      </c>
      <c r="D33" s="11" t="s">
        <v>8</v>
      </c>
      <c r="E33" s="11" t="s">
        <v>27</v>
      </c>
      <c r="F33" s="12">
        <v>199</v>
      </c>
      <c r="G33" s="13">
        <v>39</v>
      </c>
      <c r="H33" s="14">
        <v>368.70000000000005</v>
      </c>
      <c r="I33" s="13">
        <f t="shared" si="0"/>
        <v>73371.3</v>
      </c>
      <c r="J33" s="13">
        <f t="shared" si="1"/>
        <v>14379.300000000001</v>
      </c>
      <c r="K33" s="11" t="s">
        <v>25</v>
      </c>
    </row>
    <row r="34" spans="2:11" ht="15.75" customHeight="1" x14ac:dyDescent="0.25">
      <c r="B34" s="11">
        <v>131</v>
      </c>
      <c r="C34" s="9">
        <v>2019</v>
      </c>
      <c r="D34" s="11" t="s">
        <v>6</v>
      </c>
      <c r="E34" s="11" t="s">
        <v>22</v>
      </c>
      <c r="F34" s="12">
        <v>1299</v>
      </c>
      <c r="G34" s="13">
        <v>459</v>
      </c>
      <c r="H34" s="14">
        <v>126.9</v>
      </c>
      <c r="I34" s="13">
        <f t="shared" si="0"/>
        <v>164843.1</v>
      </c>
      <c r="J34" s="13">
        <f t="shared" si="1"/>
        <v>58247.100000000006</v>
      </c>
      <c r="K34" s="11" t="s">
        <v>21</v>
      </c>
    </row>
    <row r="35" spans="2:11" ht="15.75" customHeight="1" x14ac:dyDescent="0.25">
      <c r="B35" s="11">
        <v>132</v>
      </c>
      <c r="C35" s="9">
        <v>2019</v>
      </c>
      <c r="D35" s="11" t="s">
        <v>7</v>
      </c>
      <c r="E35" s="11" t="s">
        <v>24</v>
      </c>
      <c r="F35" s="12">
        <v>599</v>
      </c>
      <c r="G35" s="13">
        <v>299</v>
      </c>
      <c r="H35" s="14">
        <v>390</v>
      </c>
      <c r="I35" s="13">
        <f t="shared" si="0"/>
        <v>233610</v>
      </c>
      <c r="J35" s="13">
        <f t="shared" si="1"/>
        <v>116610</v>
      </c>
      <c r="K35" s="11" t="s">
        <v>23</v>
      </c>
    </row>
    <row r="36" spans="2:11" ht="15.75" customHeight="1" x14ac:dyDescent="0.25">
      <c r="B36" s="11">
        <v>133</v>
      </c>
      <c r="C36" s="9">
        <v>2019</v>
      </c>
      <c r="D36" s="11" t="s">
        <v>7</v>
      </c>
      <c r="E36" s="11" t="s">
        <v>22</v>
      </c>
      <c r="F36" s="12">
        <v>1299</v>
      </c>
      <c r="G36" s="13">
        <v>459</v>
      </c>
      <c r="H36" s="14">
        <v>388.3</v>
      </c>
      <c r="I36" s="13">
        <f t="shared" si="0"/>
        <v>504401.7</v>
      </c>
      <c r="J36" s="13">
        <f t="shared" si="1"/>
        <v>178229.7</v>
      </c>
      <c r="K36" s="11" t="s">
        <v>21</v>
      </c>
    </row>
    <row r="37" spans="2:11" ht="15.75" customHeight="1" x14ac:dyDescent="0.25">
      <c r="B37" s="11">
        <v>134</v>
      </c>
      <c r="C37" s="9">
        <v>2020</v>
      </c>
      <c r="D37" s="11" t="s">
        <v>7</v>
      </c>
      <c r="E37" s="11" t="s">
        <v>22</v>
      </c>
      <c r="F37" s="12">
        <v>1299</v>
      </c>
      <c r="G37" s="13">
        <v>459</v>
      </c>
      <c r="H37" s="14">
        <v>112</v>
      </c>
      <c r="I37" s="13">
        <f t="shared" si="0"/>
        <v>145488</v>
      </c>
      <c r="J37" s="13">
        <f t="shared" si="1"/>
        <v>51408</v>
      </c>
      <c r="K37" s="11" t="s">
        <v>23</v>
      </c>
    </row>
    <row r="38" spans="2:11" ht="15.75" customHeight="1" x14ac:dyDescent="0.25">
      <c r="B38" s="11">
        <v>135</v>
      </c>
      <c r="C38" s="9">
        <v>2020</v>
      </c>
      <c r="D38" s="11" t="s">
        <v>7</v>
      </c>
      <c r="E38" s="11" t="s">
        <v>27</v>
      </c>
      <c r="F38" s="12">
        <v>199</v>
      </c>
      <c r="G38" s="13">
        <v>39</v>
      </c>
      <c r="H38" s="14">
        <v>331.70000000000005</v>
      </c>
      <c r="I38" s="13">
        <f t="shared" si="0"/>
        <v>66008.3</v>
      </c>
      <c r="J38" s="13">
        <f t="shared" si="1"/>
        <v>12936.300000000001</v>
      </c>
      <c r="K38" s="15" t="s">
        <v>20</v>
      </c>
    </row>
    <row r="39" spans="2:11" ht="15.75" customHeight="1" x14ac:dyDescent="0.25">
      <c r="B39" s="11">
        <v>136</v>
      </c>
      <c r="C39" s="9">
        <v>2020</v>
      </c>
      <c r="D39" s="11" t="s">
        <v>8</v>
      </c>
      <c r="E39" s="11" t="s">
        <v>27</v>
      </c>
      <c r="F39" s="12">
        <v>199</v>
      </c>
      <c r="G39" s="13">
        <v>39</v>
      </c>
      <c r="H39" s="14">
        <v>171</v>
      </c>
      <c r="I39" s="13">
        <f t="shared" si="0"/>
        <v>34029</v>
      </c>
      <c r="J39" s="13">
        <f t="shared" si="1"/>
        <v>6669</v>
      </c>
      <c r="K39" s="15" t="s">
        <v>20</v>
      </c>
    </row>
    <row r="40" spans="2:11" ht="15.75" customHeight="1" x14ac:dyDescent="0.25">
      <c r="B40" s="11">
        <v>137</v>
      </c>
      <c r="C40" s="9">
        <v>2020</v>
      </c>
      <c r="D40" s="11" t="s">
        <v>7</v>
      </c>
      <c r="E40" s="11" t="s">
        <v>22</v>
      </c>
      <c r="F40" s="12">
        <v>1299</v>
      </c>
      <c r="G40" s="13">
        <v>459</v>
      </c>
      <c r="H40" s="14">
        <v>167.20000000000002</v>
      </c>
      <c r="I40" s="13">
        <f t="shared" si="0"/>
        <v>217192.80000000002</v>
      </c>
      <c r="J40" s="13">
        <f t="shared" si="1"/>
        <v>76744.800000000003</v>
      </c>
      <c r="K40" s="11" t="s">
        <v>23</v>
      </c>
    </row>
    <row r="41" spans="2:11" ht="15.75" customHeight="1" x14ac:dyDescent="0.25">
      <c r="B41" s="11">
        <v>138</v>
      </c>
      <c r="C41" s="9">
        <v>2020</v>
      </c>
      <c r="D41" s="11" t="s">
        <v>8</v>
      </c>
      <c r="E41" s="11" t="s">
        <v>27</v>
      </c>
      <c r="F41" s="12">
        <v>199</v>
      </c>
      <c r="G41" s="13">
        <v>39</v>
      </c>
      <c r="H41" s="14">
        <v>357.8</v>
      </c>
      <c r="I41" s="13">
        <f t="shared" si="0"/>
        <v>71202.2</v>
      </c>
      <c r="J41" s="13">
        <f t="shared" si="1"/>
        <v>13954.2</v>
      </c>
      <c r="K41" s="11" t="s">
        <v>23</v>
      </c>
    </row>
    <row r="42" spans="2:11" ht="15.75" customHeight="1" x14ac:dyDescent="0.25">
      <c r="B42" s="11">
        <v>139</v>
      </c>
      <c r="C42" s="9">
        <v>2020</v>
      </c>
      <c r="D42" s="11" t="s">
        <v>7</v>
      </c>
      <c r="E42" s="11" t="s">
        <v>26</v>
      </c>
      <c r="F42" s="12">
        <v>449</v>
      </c>
      <c r="G42" s="13">
        <v>159</v>
      </c>
      <c r="H42" s="14">
        <v>396.20000000000005</v>
      </c>
      <c r="I42" s="13">
        <f t="shared" si="0"/>
        <v>177893.80000000002</v>
      </c>
      <c r="J42" s="13">
        <f t="shared" si="1"/>
        <v>62995.80000000001</v>
      </c>
      <c r="K42" s="11" t="s">
        <v>23</v>
      </c>
    </row>
    <row r="43" spans="2:11" ht="15.75" customHeight="1" x14ac:dyDescent="0.25">
      <c r="B43" s="11">
        <v>140</v>
      </c>
      <c r="C43" s="9">
        <v>2020</v>
      </c>
      <c r="D43" s="11" t="s">
        <v>7</v>
      </c>
      <c r="E43" s="11" t="s">
        <v>26</v>
      </c>
      <c r="F43" s="12">
        <v>449</v>
      </c>
      <c r="G43" s="13">
        <v>159</v>
      </c>
      <c r="H43" s="14">
        <v>314.20000000000005</v>
      </c>
      <c r="I43" s="13">
        <f t="shared" si="0"/>
        <v>141075.80000000002</v>
      </c>
      <c r="J43" s="13">
        <f t="shared" si="1"/>
        <v>49957.80000000001</v>
      </c>
      <c r="K43" s="11" t="s">
        <v>23</v>
      </c>
    </row>
    <row r="44" spans="2:11" ht="15.75" customHeight="1" x14ac:dyDescent="0.25">
      <c r="B44" s="11">
        <v>141</v>
      </c>
      <c r="C44" s="9">
        <v>2020</v>
      </c>
      <c r="D44" s="11" t="s">
        <v>5</v>
      </c>
      <c r="E44" s="11" t="s">
        <v>24</v>
      </c>
      <c r="F44" s="12">
        <v>599</v>
      </c>
      <c r="G44" s="13">
        <v>299</v>
      </c>
      <c r="H44" s="14">
        <v>497.70000000000005</v>
      </c>
      <c r="I44" s="13">
        <f t="shared" si="0"/>
        <v>298122.30000000005</v>
      </c>
      <c r="J44" s="13">
        <f t="shared" si="1"/>
        <v>148812.30000000002</v>
      </c>
      <c r="K44" s="11" t="s">
        <v>21</v>
      </c>
    </row>
    <row r="45" spans="2:11" ht="15.75" customHeight="1" x14ac:dyDescent="0.25">
      <c r="B45" s="11">
        <v>142</v>
      </c>
      <c r="C45" s="9">
        <v>2020</v>
      </c>
      <c r="D45" s="11" t="s">
        <v>7</v>
      </c>
      <c r="E45" s="11" t="s">
        <v>24</v>
      </c>
      <c r="F45" s="12">
        <v>599</v>
      </c>
      <c r="G45" s="13">
        <v>299</v>
      </c>
      <c r="H45" s="14">
        <v>125.4</v>
      </c>
      <c r="I45" s="13">
        <f t="shared" si="0"/>
        <v>75114.600000000006</v>
      </c>
      <c r="J45" s="13">
        <f t="shared" si="1"/>
        <v>37494.6</v>
      </c>
      <c r="K45" s="11" t="s">
        <v>25</v>
      </c>
    </row>
    <row r="46" spans="2:11" ht="15.75" customHeight="1" x14ac:dyDescent="0.25">
      <c r="B46" s="11">
        <v>143</v>
      </c>
      <c r="C46" s="9">
        <v>2020</v>
      </c>
      <c r="D46" s="11" t="s">
        <v>8</v>
      </c>
      <c r="E46" s="11" t="s">
        <v>27</v>
      </c>
      <c r="F46" s="12">
        <v>199</v>
      </c>
      <c r="G46" s="13">
        <v>39</v>
      </c>
      <c r="H46" s="14">
        <v>411.20000000000005</v>
      </c>
      <c r="I46" s="13">
        <f t="shared" si="0"/>
        <v>81828.800000000003</v>
      </c>
      <c r="J46" s="13">
        <f t="shared" si="1"/>
        <v>16036.800000000001</v>
      </c>
      <c r="K46" s="11" t="s">
        <v>25</v>
      </c>
    </row>
    <row r="47" spans="2:11" ht="15.75" customHeight="1" x14ac:dyDescent="0.25">
      <c r="B47" s="11">
        <v>144</v>
      </c>
      <c r="C47" s="9">
        <v>2020</v>
      </c>
      <c r="D47" s="11" t="s">
        <v>8</v>
      </c>
      <c r="E47" s="11" t="s">
        <v>27</v>
      </c>
      <c r="F47" s="12">
        <v>199</v>
      </c>
      <c r="G47" s="13">
        <v>39</v>
      </c>
      <c r="H47" s="14">
        <v>194.3</v>
      </c>
      <c r="I47" s="13">
        <f t="shared" si="0"/>
        <v>38665.700000000004</v>
      </c>
      <c r="J47" s="13">
        <f t="shared" si="1"/>
        <v>7577.7000000000007</v>
      </c>
      <c r="K47" s="15" t="s">
        <v>20</v>
      </c>
    </row>
    <row r="48" spans="2:11" ht="15.75" customHeight="1" x14ac:dyDescent="0.25">
      <c r="B48" s="11">
        <v>145</v>
      </c>
      <c r="C48" s="9">
        <v>2020</v>
      </c>
      <c r="D48" s="11" t="s">
        <v>5</v>
      </c>
      <c r="E48" s="11" t="s">
        <v>27</v>
      </c>
      <c r="F48" s="12">
        <v>199</v>
      </c>
      <c r="G48" s="13">
        <v>39</v>
      </c>
      <c r="H48" s="14">
        <v>167.9</v>
      </c>
      <c r="I48" s="13">
        <f t="shared" si="0"/>
        <v>33412.1</v>
      </c>
      <c r="J48" s="13">
        <f t="shared" si="1"/>
        <v>6548.1</v>
      </c>
      <c r="K48" s="15" t="s">
        <v>20</v>
      </c>
    </row>
    <row r="49" spans="2:11" ht="15.75" customHeight="1" x14ac:dyDescent="0.25">
      <c r="B49" s="11">
        <v>146</v>
      </c>
      <c r="C49" s="9">
        <v>2020</v>
      </c>
      <c r="D49" s="11" t="s">
        <v>7</v>
      </c>
      <c r="E49" s="11" t="s">
        <v>19</v>
      </c>
      <c r="F49" s="11">
        <v>1099</v>
      </c>
      <c r="G49" s="13">
        <v>289</v>
      </c>
      <c r="H49" s="14">
        <v>132.20000000000002</v>
      </c>
      <c r="I49" s="13">
        <f t="shared" si="0"/>
        <v>145287.80000000002</v>
      </c>
      <c r="J49" s="13">
        <f t="shared" si="1"/>
        <v>38205.800000000003</v>
      </c>
      <c r="K49" s="15" t="s">
        <v>20</v>
      </c>
    </row>
    <row r="50" spans="2:11" ht="15.75" customHeight="1" x14ac:dyDescent="0.25">
      <c r="B50" s="11">
        <v>147</v>
      </c>
      <c r="C50" s="9">
        <v>2020</v>
      </c>
      <c r="D50" s="11" t="s">
        <v>5</v>
      </c>
      <c r="E50" s="11" t="s">
        <v>19</v>
      </c>
      <c r="F50" s="11">
        <v>1099</v>
      </c>
      <c r="G50" s="13">
        <v>289</v>
      </c>
      <c r="H50" s="14">
        <v>139.4</v>
      </c>
      <c r="I50" s="13">
        <f t="shared" si="0"/>
        <v>153200.6</v>
      </c>
      <c r="J50" s="13">
        <f t="shared" si="1"/>
        <v>40286.6</v>
      </c>
      <c r="K50" s="15" t="s">
        <v>20</v>
      </c>
    </row>
    <row r="51" spans="2:11" ht="15.75" customHeight="1" x14ac:dyDescent="0.25">
      <c r="B51" s="11">
        <v>148</v>
      </c>
      <c r="C51" s="9">
        <v>2020</v>
      </c>
      <c r="D51" s="11" t="s">
        <v>8</v>
      </c>
      <c r="E51" s="11" t="s">
        <v>19</v>
      </c>
      <c r="F51" s="11">
        <v>1099</v>
      </c>
      <c r="G51" s="13">
        <v>289</v>
      </c>
      <c r="H51" s="14">
        <v>106</v>
      </c>
      <c r="I51" s="13">
        <f t="shared" si="0"/>
        <v>116494</v>
      </c>
      <c r="J51" s="13">
        <f t="shared" si="1"/>
        <v>30634</v>
      </c>
      <c r="K51" s="15" t="s">
        <v>20</v>
      </c>
    </row>
    <row r="52" spans="2:11" ht="15.75" customHeight="1" x14ac:dyDescent="0.25">
      <c r="B52" s="11">
        <v>149</v>
      </c>
      <c r="C52" s="9">
        <v>2020</v>
      </c>
      <c r="D52" s="11" t="s">
        <v>5</v>
      </c>
      <c r="E52" s="11" t="s">
        <v>24</v>
      </c>
      <c r="F52" s="12">
        <v>599</v>
      </c>
      <c r="G52" s="13">
        <v>299</v>
      </c>
      <c r="H52" s="14">
        <v>271.90000000000003</v>
      </c>
      <c r="I52" s="13">
        <f t="shared" si="0"/>
        <v>162868.10000000003</v>
      </c>
      <c r="J52" s="13">
        <f t="shared" si="1"/>
        <v>81298.100000000006</v>
      </c>
      <c r="K52" s="11" t="s">
        <v>25</v>
      </c>
    </row>
    <row r="53" spans="2:11" ht="15.75" customHeight="1" x14ac:dyDescent="0.25">
      <c r="B53" s="11">
        <v>150</v>
      </c>
      <c r="C53" s="9">
        <v>2020</v>
      </c>
      <c r="D53" s="11" t="s">
        <v>8</v>
      </c>
      <c r="E53" s="11" t="s">
        <v>27</v>
      </c>
      <c r="F53" s="12">
        <v>199</v>
      </c>
      <c r="G53" s="13">
        <v>39</v>
      </c>
      <c r="H53" s="14">
        <v>236</v>
      </c>
      <c r="I53" s="13">
        <f t="shared" si="0"/>
        <v>46964</v>
      </c>
      <c r="J53" s="13">
        <f t="shared" si="1"/>
        <v>9204</v>
      </c>
      <c r="K53" s="11" t="s">
        <v>21</v>
      </c>
    </row>
    <row r="54" spans="2:11" ht="15.75" customHeight="1" x14ac:dyDescent="0.25">
      <c r="B54" s="11">
        <v>151</v>
      </c>
      <c r="C54" s="9">
        <v>2020</v>
      </c>
      <c r="D54" s="11" t="s">
        <v>5</v>
      </c>
      <c r="E54" s="11" t="s">
        <v>22</v>
      </c>
      <c r="F54" s="12">
        <v>1299</v>
      </c>
      <c r="G54" s="13">
        <v>459</v>
      </c>
      <c r="H54" s="14">
        <v>339.8</v>
      </c>
      <c r="I54" s="13">
        <f t="shared" si="0"/>
        <v>441400.2</v>
      </c>
      <c r="J54" s="13">
        <f t="shared" si="1"/>
        <v>155968.20000000001</v>
      </c>
      <c r="K54" s="11" t="s">
        <v>21</v>
      </c>
    </row>
    <row r="55" spans="2:11" ht="15.75" customHeight="1" x14ac:dyDescent="0.25">
      <c r="B55" s="11">
        <v>152</v>
      </c>
      <c r="C55" s="9">
        <v>2020</v>
      </c>
      <c r="D55" s="11" t="s">
        <v>5</v>
      </c>
      <c r="E55" s="11" t="s">
        <v>24</v>
      </c>
      <c r="F55" s="12">
        <v>599</v>
      </c>
      <c r="G55" s="13">
        <v>299</v>
      </c>
      <c r="H55" s="14">
        <v>403.6</v>
      </c>
      <c r="I55" s="13">
        <f t="shared" si="0"/>
        <v>241756.40000000002</v>
      </c>
      <c r="J55" s="13">
        <f t="shared" si="1"/>
        <v>120676.40000000001</v>
      </c>
      <c r="K55" s="11" t="s">
        <v>23</v>
      </c>
    </row>
    <row r="56" spans="2:11" ht="15.75" customHeight="1" x14ac:dyDescent="0.25">
      <c r="B56" s="11">
        <v>153</v>
      </c>
      <c r="C56" s="9">
        <v>2020</v>
      </c>
      <c r="D56" s="11" t="s">
        <v>7</v>
      </c>
      <c r="E56" s="11" t="s">
        <v>22</v>
      </c>
      <c r="F56" s="12">
        <v>1299</v>
      </c>
      <c r="G56" s="13">
        <v>459</v>
      </c>
      <c r="H56" s="14">
        <v>218.60000000000002</v>
      </c>
      <c r="I56" s="13">
        <f t="shared" si="0"/>
        <v>283961.40000000002</v>
      </c>
      <c r="J56" s="13">
        <f t="shared" si="1"/>
        <v>100337.40000000001</v>
      </c>
      <c r="K56" s="11" t="s">
        <v>23</v>
      </c>
    </row>
    <row r="57" spans="2:11" ht="15.75" customHeight="1" x14ac:dyDescent="0.25">
      <c r="B57" s="11">
        <v>154</v>
      </c>
      <c r="C57" s="9">
        <v>2020</v>
      </c>
      <c r="D57" s="11" t="s">
        <v>7</v>
      </c>
      <c r="E57" s="11" t="s">
        <v>22</v>
      </c>
      <c r="F57" s="12">
        <v>1299</v>
      </c>
      <c r="G57" s="13">
        <v>459</v>
      </c>
      <c r="H57" s="14">
        <v>462.20000000000005</v>
      </c>
      <c r="I57" s="13">
        <f t="shared" si="0"/>
        <v>600397.80000000005</v>
      </c>
      <c r="J57" s="13">
        <f t="shared" si="1"/>
        <v>212149.80000000002</v>
      </c>
      <c r="K57" s="11" t="s">
        <v>21</v>
      </c>
    </row>
    <row r="58" spans="2:11" ht="15.75" customHeight="1" x14ac:dyDescent="0.25">
      <c r="B58" s="11">
        <v>155</v>
      </c>
      <c r="C58" s="9">
        <v>2020</v>
      </c>
      <c r="D58" s="11" t="s">
        <v>8</v>
      </c>
      <c r="E58" s="11" t="s">
        <v>26</v>
      </c>
      <c r="F58" s="12">
        <v>449</v>
      </c>
      <c r="G58" s="13">
        <v>159</v>
      </c>
      <c r="H58" s="14">
        <v>210.9</v>
      </c>
      <c r="I58" s="13">
        <f t="shared" si="0"/>
        <v>94694.1</v>
      </c>
      <c r="J58" s="13">
        <f t="shared" si="1"/>
        <v>33533.1</v>
      </c>
      <c r="K58" s="11" t="s">
        <v>23</v>
      </c>
    </row>
    <row r="59" spans="2:11" ht="15.75" customHeight="1" x14ac:dyDescent="0.25">
      <c r="B59" s="11">
        <v>156</v>
      </c>
      <c r="C59" s="9">
        <v>2020</v>
      </c>
      <c r="D59" s="11" t="s">
        <v>5</v>
      </c>
      <c r="E59" s="11" t="s">
        <v>26</v>
      </c>
      <c r="F59" s="12">
        <v>449</v>
      </c>
      <c r="G59" s="13">
        <v>159</v>
      </c>
      <c r="H59" s="14">
        <v>453.40000000000003</v>
      </c>
      <c r="I59" s="13">
        <f t="shared" si="0"/>
        <v>203576.6</v>
      </c>
      <c r="J59" s="13">
        <f t="shared" si="1"/>
        <v>72090.600000000006</v>
      </c>
      <c r="K59" s="11" t="s">
        <v>21</v>
      </c>
    </row>
    <row r="60" spans="2:11" ht="15.75" customHeight="1" x14ac:dyDescent="0.25">
      <c r="B60" s="11">
        <v>157</v>
      </c>
      <c r="C60" s="9">
        <v>2020</v>
      </c>
      <c r="D60" s="11" t="s">
        <v>7</v>
      </c>
      <c r="E60" s="11" t="s">
        <v>27</v>
      </c>
      <c r="F60" s="12">
        <v>199</v>
      </c>
      <c r="G60" s="13">
        <v>39</v>
      </c>
      <c r="H60" s="14">
        <v>471.90000000000003</v>
      </c>
      <c r="I60" s="13">
        <f t="shared" si="0"/>
        <v>93908.1</v>
      </c>
      <c r="J60" s="13">
        <f t="shared" si="1"/>
        <v>18404.100000000002</v>
      </c>
      <c r="K60" s="11" t="s">
        <v>21</v>
      </c>
    </row>
    <row r="61" spans="2:11" ht="15.75" customHeight="1" x14ac:dyDescent="0.25">
      <c r="B61" s="11">
        <v>158</v>
      </c>
      <c r="C61" s="9">
        <v>2020</v>
      </c>
      <c r="D61" s="11" t="s">
        <v>5</v>
      </c>
      <c r="E61" s="11" t="s">
        <v>26</v>
      </c>
      <c r="F61" s="12">
        <v>449</v>
      </c>
      <c r="G61" s="13">
        <v>159</v>
      </c>
      <c r="H61" s="14">
        <v>128.30000000000001</v>
      </c>
      <c r="I61" s="13">
        <f t="shared" si="0"/>
        <v>57606.700000000004</v>
      </c>
      <c r="J61" s="13">
        <f t="shared" si="1"/>
        <v>20399.7</v>
      </c>
      <c r="K61" s="11" t="s">
        <v>21</v>
      </c>
    </row>
    <row r="62" spans="2:11" ht="15.75" customHeight="1" x14ac:dyDescent="0.25">
      <c r="B62" s="11">
        <v>159</v>
      </c>
      <c r="C62" s="9">
        <v>2020</v>
      </c>
      <c r="D62" s="11" t="s">
        <v>8</v>
      </c>
      <c r="E62" s="11" t="s">
        <v>24</v>
      </c>
      <c r="F62" s="12">
        <v>599</v>
      </c>
      <c r="G62" s="13">
        <v>299</v>
      </c>
      <c r="H62" s="14">
        <v>198.20000000000002</v>
      </c>
      <c r="I62" s="13">
        <f t="shared" si="0"/>
        <v>118721.80000000002</v>
      </c>
      <c r="J62" s="13">
        <f t="shared" si="1"/>
        <v>59261.8</v>
      </c>
      <c r="K62" s="11" t="s">
        <v>21</v>
      </c>
    </row>
    <row r="63" spans="2:11" ht="15.75" customHeight="1" x14ac:dyDescent="0.25">
      <c r="B63" s="11">
        <v>160</v>
      </c>
      <c r="C63" s="9">
        <v>2020</v>
      </c>
      <c r="D63" s="11" t="s">
        <v>5</v>
      </c>
      <c r="E63" s="11" t="s">
        <v>24</v>
      </c>
      <c r="F63" s="12">
        <v>599</v>
      </c>
      <c r="G63" s="13">
        <v>299</v>
      </c>
      <c r="H63" s="14">
        <v>300.3</v>
      </c>
      <c r="I63" s="13">
        <f t="shared" si="0"/>
        <v>179879.7</v>
      </c>
      <c r="J63" s="13">
        <f t="shared" si="1"/>
        <v>89789.7</v>
      </c>
      <c r="K63" s="11" t="s">
        <v>21</v>
      </c>
    </row>
    <row r="64" spans="2:11" ht="15.75" customHeight="1" x14ac:dyDescent="0.25">
      <c r="B64" s="11">
        <v>161</v>
      </c>
      <c r="C64" s="9">
        <v>2020</v>
      </c>
      <c r="D64" s="11" t="s">
        <v>7</v>
      </c>
      <c r="E64" s="11" t="s">
        <v>19</v>
      </c>
      <c r="F64" s="11">
        <v>1099</v>
      </c>
      <c r="G64" s="13">
        <v>289</v>
      </c>
      <c r="H64" s="14">
        <v>129.4</v>
      </c>
      <c r="I64" s="13">
        <f t="shared" si="0"/>
        <v>142210.6</v>
      </c>
      <c r="J64" s="13">
        <f t="shared" si="1"/>
        <v>37396.6</v>
      </c>
      <c r="K64" s="11" t="s">
        <v>21</v>
      </c>
    </row>
    <row r="65" spans="2:11" ht="15.75" customHeight="1" x14ac:dyDescent="0.25">
      <c r="B65" s="11">
        <v>162</v>
      </c>
      <c r="C65" s="9">
        <v>2020</v>
      </c>
      <c r="D65" s="11" t="s">
        <v>5</v>
      </c>
      <c r="E65" s="11" t="s">
        <v>19</v>
      </c>
      <c r="F65" s="11">
        <v>1099</v>
      </c>
      <c r="G65" s="13">
        <v>289</v>
      </c>
      <c r="H65" s="14">
        <v>341.70000000000005</v>
      </c>
      <c r="I65" s="13">
        <f t="shared" si="0"/>
        <v>375528.30000000005</v>
      </c>
      <c r="J65" s="13">
        <f t="shared" si="1"/>
        <v>98751.300000000017</v>
      </c>
      <c r="K65" s="11" t="s">
        <v>21</v>
      </c>
    </row>
    <row r="66" spans="2:11" ht="15.75" customHeight="1" x14ac:dyDescent="0.25">
      <c r="B66" s="11">
        <v>163</v>
      </c>
      <c r="C66" s="9">
        <v>2020</v>
      </c>
      <c r="D66" s="11" t="s">
        <v>8</v>
      </c>
      <c r="E66" s="11" t="s">
        <v>24</v>
      </c>
      <c r="F66" s="12">
        <v>599</v>
      </c>
      <c r="G66" s="13">
        <v>299</v>
      </c>
      <c r="H66" s="14">
        <v>155.60000000000002</v>
      </c>
      <c r="I66" s="13">
        <f t="shared" si="0"/>
        <v>93204.400000000009</v>
      </c>
      <c r="J66" s="13">
        <f t="shared" si="1"/>
        <v>46524.400000000009</v>
      </c>
      <c r="K66" s="15" t="s">
        <v>20</v>
      </c>
    </row>
    <row r="67" spans="2:11" ht="15.75" customHeight="1" x14ac:dyDescent="0.25">
      <c r="B67" s="11">
        <v>164</v>
      </c>
      <c r="C67" s="9">
        <v>2020</v>
      </c>
      <c r="D67" s="11" t="s">
        <v>5</v>
      </c>
      <c r="E67" s="11" t="s">
        <v>22</v>
      </c>
      <c r="F67" s="12">
        <v>1299</v>
      </c>
      <c r="G67" s="13">
        <v>459</v>
      </c>
      <c r="H67" s="14">
        <v>318.40000000000003</v>
      </c>
      <c r="I67" s="13">
        <f t="shared" si="0"/>
        <v>413601.60000000003</v>
      </c>
      <c r="J67" s="13">
        <f t="shared" si="1"/>
        <v>146145.60000000001</v>
      </c>
      <c r="K67" s="15" t="s">
        <v>20</v>
      </c>
    </row>
    <row r="68" spans="2:11" ht="15.75" customHeight="1" x14ac:dyDescent="0.25">
      <c r="B68" s="11">
        <v>165</v>
      </c>
      <c r="C68" s="9">
        <v>2020</v>
      </c>
      <c r="D68" s="11" t="s">
        <v>7</v>
      </c>
      <c r="E68" s="11" t="s">
        <v>27</v>
      </c>
      <c r="F68" s="12">
        <v>199</v>
      </c>
      <c r="G68" s="13">
        <v>39</v>
      </c>
      <c r="H68" s="14">
        <v>307.60000000000002</v>
      </c>
      <c r="I68" s="13">
        <f t="shared" si="0"/>
        <v>61212.4</v>
      </c>
      <c r="J68" s="13">
        <f t="shared" si="1"/>
        <v>11996.400000000001</v>
      </c>
      <c r="K68" s="15" t="s">
        <v>20</v>
      </c>
    </row>
    <row r="69" spans="2:11" ht="15.75" customHeight="1" x14ac:dyDescent="0.25">
      <c r="B69" s="11">
        <v>166</v>
      </c>
      <c r="C69" s="9">
        <v>2020</v>
      </c>
      <c r="D69" s="11" t="s">
        <v>5</v>
      </c>
      <c r="E69" s="11" t="s">
        <v>22</v>
      </c>
      <c r="F69" s="12">
        <v>1299</v>
      </c>
      <c r="G69" s="13">
        <v>459</v>
      </c>
      <c r="H69" s="14">
        <v>187.3</v>
      </c>
      <c r="I69" s="13">
        <f t="shared" si="0"/>
        <v>243302.7</v>
      </c>
      <c r="J69" s="13">
        <f t="shared" si="1"/>
        <v>85970.700000000012</v>
      </c>
      <c r="K69" s="15" t="s">
        <v>20</v>
      </c>
    </row>
    <row r="70" spans="2:11" ht="15.75" customHeight="1" x14ac:dyDescent="0.25">
      <c r="B70" s="11">
        <v>167</v>
      </c>
      <c r="C70" s="9">
        <v>2020</v>
      </c>
      <c r="D70" s="11" t="s">
        <v>8</v>
      </c>
      <c r="E70" s="11" t="s">
        <v>27</v>
      </c>
      <c r="F70" s="12">
        <v>199</v>
      </c>
      <c r="G70" s="13">
        <v>39</v>
      </c>
      <c r="H70" s="14">
        <v>157.4</v>
      </c>
      <c r="I70" s="13">
        <f t="shared" si="0"/>
        <v>31322.600000000002</v>
      </c>
      <c r="J70" s="13">
        <f t="shared" si="1"/>
        <v>6138.6</v>
      </c>
      <c r="K70" s="15" t="s">
        <v>20</v>
      </c>
    </row>
    <row r="71" spans="2:11" ht="15.75" customHeight="1" x14ac:dyDescent="0.25">
      <c r="B71" s="11">
        <v>168</v>
      </c>
      <c r="C71" s="9">
        <v>2021</v>
      </c>
      <c r="D71" s="11" t="s">
        <v>5</v>
      </c>
      <c r="E71" s="11" t="s">
        <v>26</v>
      </c>
      <c r="F71" s="12">
        <v>449</v>
      </c>
      <c r="G71" s="13">
        <v>159</v>
      </c>
      <c r="H71" s="14">
        <v>219.3</v>
      </c>
      <c r="I71" s="13">
        <f t="shared" si="0"/>
        <v>98465.700000000012</v>
      </c>
      <c r="J71" s="13">
        <f t="shared" si="1"/>
        <v>34868.700000000004</v>
      </c>
      <c r="K71" s="15" t="s">
        <v>20</v>
      </c>
    </row>
    <row r="72" spans="2:11" ht="15.75" customHeight="1" x14ac:dyDescent="0.25">
      <c r="B72" s="11">
        <v>169</v>
      </c>
      <c r="C72" s="9">
        <v>2021</v>
      </c>
      <c r="D72" s="11" t="s">
        <v>7</v>
      </c>
      <c r="E72" s="11" t="s">
        <v>27</v>
      </c>
      <c r="F72" s="12">
        <v>199</v>
      </c>
      <c r="G72" s="13">
        <v>39</v>
      </c>
      <c r="H72" s="14">
        <v>133</v>
      </c>
      <c r="I72" s="13">
        <f t="shared" si="0"/>
        <v>26467</v>
      </c>
      <c r="J72" s="13">
        <f t="shared" si="1"/>
        <v>5187</v>
      </c>
      <c r="K72" s="11" t="s">
        <v>23</v>
      </c>
    </row>
    <row r="73" spans="2:11" ht="15.75" customHeight="1" x14ac:dyDescent="0.25">
      <c r="B73" s="11">
        <v>170</v>
      </c>
      <c r="C73" s="9">
        <v>2021</v>
      </c>
      <c r="D73" s="11" t="s">
        <v>7</v>
      </c>
      <c r="E73" s="11" t="s">
        <v>22</v>
      </c>
      <c r="F73" s="12">
        <v>1299</v>
      </c>
      <c r="G73" s="13">
        <v>459</v>
      </c>
      <c r="H73" s="14">
        <v>357.6</v>
      </c>
      <c r="I73" s="13">
        <f t="shared" si="0"/>
        <v>464522.4</v>
      </c>
      <c r="J73" s="13">
        <f t="shared" si="1"/>
        <v>164138.40000000002</v>
      </c>
      <c r="K73" s="11" t="s">
        <v>23</v>
      </c>
    </row>
    <row r="74" spans="2:11" ht="15.75" customHeight="1" x14ac:dyDescent="0.25">
      <c r="B74" s="11">
        <v>171</v>
      </c>
      <c r="C74" s="9">
        <v>2021</v>
      </c>
      <c r="D74" s="11" t="s">
        <v>6</v>
      </c>
      <c r="E74" s="11" t="s">
        <v>27</v>
      </c>
      <c r="F74" s="12">
        <v>199</v>
      </c>
      <c r="G74" s="13">
        <v>39</v>
      </c>
      <c r="H74" s="14">
        <v>400.6</v>
      </c>
      <c r="I74" s="13">
        <f t="shared" si="0"/>
        <v>79719.400000000009</v>
      </c>
      <c r="J74" s="13">
        <f t="shared" si="1"/>
        <v>15623.400000000001</v>
      </c>
      <c r="K74" s="15" t="s">
        <v>20</v>
      </c>
    </row>
    <row r="75" spans="2:11" ht="15.75" customHeight="1" x14ac:dyDescent="0.25">
      <c r="B75" s="11">
        <v>172</v>
      </c>
      <c r="C75" s="9">
        <v>2021</v>
      </c>
      <c r="D75" s="11" t="s">
        <v>7</v>
      </c>
      <c r="E75" s="11" t="s">
        <v>27</v>
      </c>
      <c r="F75" s="12">
        <v>199</v>
      </c>
      <c r="G75" s="13">
        <v>39</v>
      </c>
      <c r="H75" s="14">
        <v>433.1</v>
      </c>
      <c r="I75" s="13">
        <f t="shared" si="0"/>
        <v>86186.900000000009</v>
      </c>
      <c r="J75" s="13">
        <f t="shared" si="1"/>
        <v>16890.900000000001</v>
      </c>
      <c r="K75" s="11" t="s">
        <v>21</v>
      </c>
    </row>
    <row r="76" spans="2:11" ht="15.75" customHeight="1" x14ac:dyDescent="0.25">
      <c r="B76" s="11">
        <v>173</v>
      </c>
      <c r="C76" s="9">
        <v>2021</v>
      </c>
      <c r="D76" s="11" t="s">
        <v>8</v>
      </c>
      <c r="E76" s="11" t="s">
        <v>19</v>
      </c>
      <c r="F76" s="11">
        <v>1099</v>
      </c>
      <c r="G76" s="13">
        <v>289</v>
      </c>
      <c r="H76" s="14">
        <v>205.9</v>
      </c>
      <c r="I76" s="13">
        <f t="shared" si="0"/>
        <v>226284.1</v>
      </c>
      <c r="J76" s="13">
        <f t="shared" si="1"/>
        <v>59505.1</v>
      </c>
      <c r="K76" s="11" t="s">
        <v>21</v>
      </c>
    </row>
    <row r="77" spans="2:11" ht="15.75" customHeight="1" x14ac:dyDescent="0.25">
      <c r="B77" s="11">
        <v>174</v>
      </c>
      <c r="C77" s="9">
        <v>2021</v>
      </c>
      <c r="D77" s="11" t="s">
        <v>8</v>
      </c>
      <c r="E77" s="11" t="s">
        <v>27</v>
      </c>
      <c r="F77" s="12">
        <v>199</v>
      </c>
      <c r="G77" s="13">
        <v>39</v>
      </c>
      <c r="H77" s="14">
        <v>436</v>
      </c>
      <c r="I77" s="13">
        <f t="shared" si="0"/>
        <v>86764</v>
      </c>
      <c r="J77" s="13">
        <f t="shared" si="1"/>
        <v>17004</v>
      </c>
      <c r="K77" s="11" t="s">
        <v>21</v>
      </c>
    </row>
    <row r="78" spans="2:11" ht="15.75" customHeight="1" x14ac:dyDescent="0.25">
      <c r="B78" s="11">
        <v>175</v>
      </c>
      <c r="C78" s="9">
        <v>2021</v>
      </c>
      <c r="D78" s="11" t="s">
        <v>6</v>
      </c>
      <c r="E78" s="11" t="s">
        <v>24</v>
      </c>
      <c r="F78" s="12">
        <v>599</v>
      </c>
      <c r="G78" s="13">
        <v>299</v>
      </c>
      <c r="H78" s="14">
        <v>114.7</v>
      </c>
      <c r="I78" s="13">
        <f t="shared" si="0"/>
        <v>68705.3</v>
      </c>
      <c r="J78" s="13">
        <f t="shared" si="1"/>
        <v>34295.300000000003</v>
      </c>
      <c r="K78" s="11" t="s">
        <v>21</v>
      </c>
    </row>
    <row r="79" spans="2:11" ht="15.75" customHeight="1" x14ac:dyDescent="0.25">
      <c r="B79" s="11">
        <v>176</v>
      </c>
      <c r="C79" s="9">
        <v>2021</v>
      </c>
      <c r="D79" s="11" t="s">
        <v>6</v>
      </c>
      <c r="E79" s="11" t="s">
        <v>19</v>
      </c>
      <c r="F79" s="11">
        <v>1099</v>
      </c>
      <c r="G79" s="13">
        <v>289</v>
      </c>
      <c r="H79" s="14">
        <v>213.8</v>
      </c>
      <c r="I79" s="13">
        <f t="shared" si="0"/>
        <v>234966.2</v>
      </c>
      <c r="J79" s="13">
        <f t="shared" si="1"/>
        <v>61788.200000000004</v>
      </c>
      <c r="K79" s="11" t="s">
        <v>21</v>
      </c>
    </row>
    <row r="80" spans="2:11" ht="15.75" customHeight="1" x14ac:dyDescent="0.25">
      <c r="B80" s="11">
        <v>177</v>
      </c>
      <c r="C80" s="9">
        <v>2021</v>
      </c>
      <c r="D80" s="11" t="s">
        <v>6</v>
      </c>
      <c r="E80" s="11" t="s">
        <v>22</v>
      </c>
      <c r="F80" s="12">
        <v>1299</v>
      </c>
      <c r="G80" s="13">
        <v>459</v>
      </c>
      <c r="H80" s="14">
        <v>124</v>
      </c>
      <c r="I80" s="13">
        <f t="shared" si="0"/>
        <v>161076</v>
      </c>
      <c r="J80" s="13">
        <f t="shared" si="1"/>
        <v>56916</v>
      </c>
      <c r="K80" s="11" t="s">
        <v>21</v>
      </c>
    </row>
    <row r="81" spans="2:11" ht="15.75" customHeight="1" x14ac:dyDescent="0.25">
      <c r="B81" s="11">
        <v>178</v>
      </c>
      <c r="C81" s="9">
        <v>2021</v>
      </c>
      <c r="D81" s="11" t="s">
        <v>8</v>
      </c>
      <c r="E81" s="11" t="s">
        <v>27</v>
      </c>
      <c r="F81" s="12">
        <v>199</v>
      </c>
      <c r="G81" s="13">
        <v>39</v>
      </c>
      <c r="H81" s="14">
        <v>285.10000000000002</v>
      </c>
      <c r="I81" s="13">
        <f t="shared" si="0"/>
        <v>56734.9</v>
      </c>
      <c r="J81" s="13">
        <f t="shared" si="1"/>
        <v>11118.900000000001</v>
      </c>
      <c r="K81" s="11" t="s">
        <v>21</v>
      </c>
    </row>
    <row r="82" spans="2:11" ht="15.75" customHeight="1" x14ac:dyDescent="0.25">
      <c r="B82" s="11">
        <v>179</v>
      </c>
      <c r="C82" s="9">
        <v>2021</v>
      </c>
      <c r="D82" s="11" t="s">
        <v>7</v>
      </c>
      <c r="E82" s="11" t="s">
        <v>27</v>
      </c>
      <c r="F82" s="12">
        <v>199</v>
      </c>
      <c r="G82" s="13">
        <v>39</v>
      </c>
      <c r="H82" s="14">
        <v>228.9</v>
      </c>
      <c r="I82" s="13">
        <f t="shared" si="0"/>
        <v>45551.1</v>
      </c>
      <c r="J82" s="13">
        <f t="shared" si="1"/>
        <v>8927.1</v>
      </c>
      <c r="K82" s="11" t="s">
        <v>21</v>
      </c>
    </row>
    <row r="83" spans="2:11" ht="15.75" customHeight="1" x14ac:dyDescent="0.25">
      <c r="B83" s="11">
        <v>180</v>
      </c>
      <c r="C83" s="9">
        <v>2021</v>
      </c>
      <c r="D83" s="11" t="s">
        <v>8</v>
      </c>
      <c r="E83" s="11" t="s">
        <v>27</v>
      </c>
      <c r="F83" s="12">
        <v>199</v>
      </c>
      <c r="G83" s="13">
        <v>39</v>
      </c>
      <c r="H83" s="14">
        <v>361</v>
      </c>
      <c r="I83" s="13">
        <f t="shared" si="0"/>
        <v>71839</v>
      </c>
      <c r="J83" s="13">
        <f t="shared" si="1"/>
        <v>14079</v>
      </c>
      <c r="K83" s="11" t="s">
        <v>21</v>
      </c>
    </row>
    <row r="84" spans="2:11" ht="15.75" customHeight="1" x14ac:dyDescent="0.25">
      <c r="B84" s="11">
        <v>181</v>
      </c>
      <c r="C84" s="9">
        <v>2021</v>
      </c>
      <c r="D84" s="11" t="s">
        <v>8</v>
      </c>
      <c r="E84" s="11" t="s">
        <v>19</v>
      </c>
      <c r="F84" s="11">
        <v>1099</v>
      </c>
      <c r="G84" s="13">
        <v>289</v>
      </c>
      <c r="H84" s="14">
        <v>425.70000000000005</v>
      </c>
      <c r="I84" s="13">
        <f t="shared" si="0"/>
        <v>467844.30000000005</v>
      </c>
      <c r="J84" s="13">
        <f t="shared" si="1"/>
        <v>123027.30000000002</v>
      </c>
      <c r="K84" s="15" t="s">
        <v>20</v>
      </c>
    </row>
    <row r="85" spans="2:11" ht="15.75" customHeight="1" x14ac:dyDescent="0.25">
      <c r="B85" s="11">
        <v>182</v>
      </c>
      <c r="C85" s="9">
        <v>2021</v>
      </c>
      <c r="D85" s="11" t="s">
        <v>8</v>
      </c>
      <c r="E85" s="11" t="s">
        <v>27</v>
      </c>
      <c r="F85" s="12">
        <v>199</v>
      </c>
      <c r="G85" s="13">
        <v>39</v>
      </c>
      <c r="H85" s="14">
        <v>233.3</v>
      </c>
      <c r="I85" s="13">
        <f t="shared" si="0"/>
        <v>46426.700000000004</v>
      </c>
      <c r="J85" s="13">
        <f t="shared" si="1"/>
        <v>9098.7000000000007</v>
      </c>
      <c r="K85" s="11" t="s">
        <v>21</v>
      </c>
    </row>
    <row r="86" spans="2:11" ht="15.75" customHeight="1" x14ac:dyDescent="0.25">
      <c r="B86" s="11">
        <v>183</v>
      </c>
      <c r="C86" s="9">
        <v>2021</v>
      </c>
      <c r="D86" s="11" t="s">
        <v>7</v>
      </c>
      <c r="E86" s="11" t="s">
        <v>24</v>
      </c>
      <c r="F86" s="12">
        <v>599</v>
      </c>
      <c r="G86" s="13">
        <v>299</v>
      </c>
      <c r="H86" s="14">
        <v>381.20000000000005</v>
      </c>
      <c r="I86" s="13">
        <f t="shared" si="0"/>
        <v>228338.80000000002</v>
      </c>
      <c r="J86" s="13">
        <f t="shared" si="1"/>
        <v>113978.80000000002</v>
      </c>
      <c r="K86" s="15" t="s">
        <v>20</v>
      </c>
    </row>
    <row r="87" spans="2:11" ht="15.75" customHeight="1" x14ac:dyDescent="0.25">
      <c r="B87" s="11">
        <v>184</v>
      </c>
      <c r="C87" s="9">
        <v>2021</v>
      </c>
      <c r="D87" s="15" t="s">
        <v>5</v>
      </c>
      <c r="E87" s="11" t="s">
        <v>22</v>
      </c>
      <c r="F87" s="12">
        <v>1299</v>
      </c>
      <c r="G87" s="13">
        <v>459</v>
      </c>
      <c r="H87" s="14">
        <v>415.3</v>
      </c>
      <c r="I87" s="13">
        <f t="shared" si="0"/>
        <v>539474.70000000007</v>
      </c>
      <c r="J87" s="13">
        <f t="shared" si="1"/>
        <v>190622.7</v>
      </c>
      <c r="K87" s="11" t="s">
        <v>21</v>
      </c>
    </row>
    <row r="88" spans="2:11" ht="15.75" customHeight="1" x14ac:dyDescent="0.25">
      <c r="B88" s="11">
        <v>185</v>
      </c>
      <c r="C88" s="9">
        <v>2021</v>
      </c>
      <c r="D88" s="15" t="s">
        <v>5</v>
      </c>
      <c r="E88" s="11" t="s">
        <v>19</v>
      </c>
      <c r="F88" s="11">
        <v>1099</v>
      </c>
      <c r="G88" s="13">
        <v>289</v>
      </c>
      <c r="H88" s="14">
        <v>250.4</v>
      </c>
      <c r="I88" s="13">
        <f t="shared" si="0"/>
        <v>275189.60000000003</v>
      </c>
      <c r="J88" s="13">
        <f t="shared" si="1"/>
        <v>72365.600000000006</v>
      </c>
      <c r="K88" s="11" t="s">
        <v>23</v>
      </c>
    </row>
    <row r="89" spans="2:11" ht="15.75" customHeight="1" x14ac:dyDescent="0.25">
      <c r="B89" s="11">
        <v>186</v>
      </c>
      <c r="C89" s="9">
        <v>2021</v>
      </c>
      <c r="D89" s="15" t="s">
        <v>5</v>
      </c>
      <c r="E89" s="11" t="s">
        <v>26</v>
      </c>
      <c r="F89" s="12">
        <v>449</v>
      </c>
      <c r="G89" s="13">
        <v>159</v>
      </c>
      <c r="H89" s="14">
        <v>280.10000000000002</v>
      </c>
      <c r="I89" s="13">
        <f t="shared" si="0"/>
        <v>125764.90000000001</v>
      </c>
      <c r="J89" s="13">
        <f t="shared" si="1"/>
        <v>44535.9</v>
      </c>
      <c r="K89" s="11" t="s">
        <v>25</v>
      </c>
    </row>
    <row r="90" spans="2:11" ht="15.75" customHeight="1" x14ac:dyDescent="0.25">
      <c r="B90" s="11">
        <v>187</v>
      </c>
      <c r="C90" s="9">
        <v>2021</v>
      </c>
      <c r="D90" s="15" t="s">
        <v>5</v>
      </c>
      <c r="E90" s="11" t="s">
        <v>27</v>
      </c>
      <c r="F90" s="12">
        <v>199</v>
      </c>
      <c r="G90" s="13">
        <v>39</v>
      </c>
      <c r="H90" s="14">
        <v>214.9</v>
      </c>
      <c r="I90" s="13">
        <f t="shared" si="0"/>
        <v>42765.1</v>
      </c>
      <c r="J90" s="13">
        <f t="shared" si="1"/>
        <v>8381.1</v>
      </c>
      <c r="K90" s="11" t="s">
        <v>21</v>
      </c>
    </row>
    <row r="91" spans="2:11" ht="15.75" customHeight="1" x14ac:dyDescent="0.25">
      <c r="B91" s="11">
        <v>188</v>
      </c>
      <c r="C91" s="9">
        <v>2021</v>
      </c>
      <c r="D91" s="15" t="s">
        <v>5</v>
      </c>
      <c r="E91" s="11" t="s">
        <v>24</v>
      </c>
      <c r="F91" s="12">
        <v>599</v>
      </c>
      <c r="G91" s="13">
        <v>299</v>
      </c>
      <c r="H91" s="14">
        <v>319.20000000000005</v>
      </c>
      <c r="I91" s="13">
        <f t="shared" si="0"/>
        <v>191200.80000000002</v>
      </c>
      <c r="J91" s="13">
        <f t="shared" si="1"/>
        <v>95440.800000000017</v>
      </c>
      <c r="K91" s="11" t="s">
        <v>21</v>
      </c>
    </row>
    <row r="92" spans="2:11" ht="15.75" customHeight="1" x14ac:dyDescent="0.25">
      <c r="B92" s="11">
        <v>189</v>
      </c>
      <c r="C92" s="9">
        <v>2021</v>
      </c>
      <c r="D92" s="11" t="s">
        <v>8</v>
      </c>
      <c r="E92" s="11" t="s">
        <v>22</v>
      </c>
      <c r="F92" s="12">
        <v>1299</v>
      </c>
      <c r="G92" s="13">
        <v>459</v>
      </c>
      <c r="H92" s="14">
        <v>209.9</v>
      </c>
      <c r="I92" s="13">
        <f t="shared" si="0"/>
        <v>272660.10000000003</v>
      </c>
      <c r="J92" s="13">
        <f t="shared" si="1"/>
        <v>96344.1</v>
      </c>
      <c r="K92" s="11" t="s">
        <v>25</v>
      </c>
    </row>
    <row r="93" spans="2:11" ht="15.75" customHeight="1" x14ac:dyDescent="0.25">
      <c r="B93" s="11">
        <v>190</v>
      </c>
      <c r="C93" s="9">
        <v>2021</v>
      </c>
      <c r="D93" s="15" t="s">
        <v>6</v>
      </c>
      <c r="E93" s="11" t="s">
        <v>19</v>
      </c>
      <c r="F93" s="11">
        <v>1099</v>
      </c>
      <c r="G93" s="13">
        <v>289</v>
      </c>
      <c r="H93" s="14">
        <v>197.9</v>
      </c>
      <c r="I93" s="13">
        <f t="shared" si="0"/>
        <v>217492.1</v>
      </c>
      <c r="J93" s="13">
        <f t="shared" si="1"/>
        <v>57193.1</v>
      </c>
      <c r="K93" s="11" t="s">
        <v>21</v>
      </c>
    </row>
    <row r="94" spans="2:11" ht="15.75" customHeight="1" x14ac:dyDescent="0.25">
      <c r="B94" s="11">
        <v>191</v>
      </c>
      <c r="C94" s="9">
        <v>2021</v>
      </c>
      <c r="D94" s="11" t="s">
        <v>7</v>
      </c>
      <c r="E94" s="11" t="s">
        <v>19</v>
      </c>
      <c r="F94" s="11">
        <v>1099</v>
      </c>
      <c r="G94" s="13">
        <v>289</v>
      </c>
      <c r="H94" s="14">
        <v>122.2</v>
      </c>
      <c r="I94" s="13">
        <f t="shared" si="0"/>
        <v>134297.80000000002</v>
      </c>
      <c r="J94" s="13">
        <f t="shared" si="1"/>
        <v>35315.800000000003</v>
      </c>
      <c r="K94" s="11" t="s">
        <v>21</v>
      </c>
    </row>
    <row r="95" spans="2:11" ht="15.75" customHeight="1" x14ac:dyDescent="0.25">
      <c r="B95" s="11">
        <v>192</v>
      </c>
      <c r="C95" s="9">
        <v>2021</v>
      </c>
      <c r="D95" s="11" t="s">
        <v>7</v>
      </c>
      <c r="E95" s="11" t="s">
        <v>27</v>
      </c>
      <c r="F95" s="12">
        <v>199</v>
      </c>
      <c r="G95" s="13">
        <v>39</v>
      </c>
      <c r="H95" s="14">
        <v>379.3</v>
      </c>
      <c r="I95" s="13">
        <f t="shared" si="0"/>
        <v>75480.7</v>
      </c>
      <c r="J95" s="13">
        <f t="shared" si="1"/>
        <v>14792.7</v>
      </c>
      <c r="K95" s="11" t="s">
        <v>21</v>
      </c>
    </row>
    <row r="96" spans="2:11" ht="15.75" customHeight="1" x14ac:dyDescent="0.25">
      <c r="B96" s="11">
        <v>193</v>
      </c>
      <c r="C96" s="9">
        <v>2021</v>
      </c>
      <c r="D96" s="11" t="s">
        <v>7</v>
      </c>
      <c r="E96" s="11" t="s">
        <v>26</v>
      </c>
      <c r="F96" s="12">
        <v>449</v>
      </c>
      <c r="G96" s="13">
        <v>159</v>
      </c>
      <c r="H96" s="14">
        <v>120.80000000000001</v>
      </c>
      <c r="I96" s="13">
        <f t="shared" si="0"/>
        <v>54239.200000000004</v>
      </c>
      <c r="J96" s="13">
        <f t="shared" si="1"/>
        <v>19207.2</v>
      </c>
      <c r="K96" s="11" t="s">
        <v>25</v>
      </c>
    </row>
    <row r="97" spans="2:11" ht="15.75" customHeight="1" x14ac:dyDescent="0.25">
      <c r="B97" s="11">
        <v>194</v>
      </c>
      <c r="C97" s="9">
        <v>2021</v>
      </c>
      <c r="D97" s="11" t="s">
        <v>8</v>
      </c>
      <c r="E97" s="11" t="s">
        <v>26</v>
      </c>
      <c r="F97" s="12">
        <v>449</v>
      </c>
      <c r="G97" s="13">
        <v>159</v>
      </c>
      <c r="H97" s="14">
        <v>454.3</v>
      </c>
      <c r="I97" s="13">
        <f t="shared" si="0"/>
        <v>203980.7</v>
      </c>
      <c r="J97" s="13">
        <f t="shared" si="1"/>
        <v>72233.7</v>
      </c>
      <c r="K97" s="11" t="s">
        <v>21</v>
      </c>
    </row>
    <row r="98" spans="2:11" ht="15.75" customHeight="1" x14ac:dyDescent="0.25">
      <c r="B98" s="11">
        <v>195</v>
      </c>
      <c r="C98" s="9">
        <v>2021</v>
      </c>
      <c r="D98" s="11" t="s">
        <v>6</v>
      </c>
      <c r="E98" s="11" t="s">
        <v>27</v>
      </c>
      <c r="F98" s="12">
        <v>199</v>
      </c>
      <c r="G98" s="13">
        <v>39</v>
      </c>
      <c r="H98" s="14">
        <v>245.8</v>
      </c>
      <c r="I98" s="13">
        <f t="shared" si="0"/>
        <v>48914.200000000004</v>
      </c>
      <c r="J98" s="13">
        <f t="shared" si="1"/>
        <v>9586.2000000000007</v>
      </c>
      <c r="K98" s="11" t="s">
        <v>25</v>
      </c>
    </row>
    <row r="99" spans="2:11" ht="15.75" customHeight="1" x14ac:dyDescent="0.25">
      <c r="B99" s="11">
        <v>196</v>
      </c>
      <c r="C99" s="9">
        <v>2021</v>
      </c>
      <c r="D99" s="11" t="s">
        <v>7</v>
      </c>
      <c r="E99" s="11" t="s">
        <v>27</v>
      </c>
      <c r="F99" s="12">
        <v>199</v>
      </c>
      <c r="G99" s="13">
        <v>39</v>
      </c>
      <c r="H99" s="14">
        <v>285.5</v>
      </c>
      <c r="I99" s="13">
        <f t="shared" si="0"/>
        <v>56814.5</v>
      </c>
      <c r="J99" s="13">
        <f t="shared" si="1"/>
        <v>11134.5</v>
      </c>
      <c r="K99" s="11" t="s">
        <v>25</v>
      </c>
    </row>
    <row r="100" spans="2:11" ht="15.75" customHeight="1" x14ac:dyDescent="0.25">
      <c r="B100" s="11">
        <v>197</v>
      </c>
      <c r="C100" s="9">
        <v>2021</v>
      </c>
      <c r="D100" s="11" t="s">
        <v>6</v>
      </c>
      <c r="E100" s="11" t="s">
        <v>27</v>
      </c>
      <c r="F100" s="12">
        <v>199</v>
      </c>
      <c r="G100" s="13">
        <v>39</v>
      </c>
      <c r="H100" s="14">
        <v>242.10000000000002</v>
      </c>
      <c r="I100" s="13">
        <f t="shared" si="0"/>
        <v>48177.9</v>
      </c>
      <c r="J100" s="13">
        <f t="shared" si="1"/>
        <v>9441.9000000000015</v>
      </c>
      <c r="K100" s="11" t="s">
        <v>25</v>
      </c>
    </row>
    <row r="101" spans="2:11" ht="15.75" customHeight="1" x14ac:dyDescent="0.25">
      <c r="B101" s="11">
        <v>198</v>
      </c>
      <c r="C101" s="9">
        <v>2021</v>
      </c>
      <c r="D101" s="11" t="s">
        <v>6</v>
      </c>
      <c r="E101" s="11" t="s">
        <v>24</v>
      </c>
      <c r="F101" s="12">
        <v>599</v>
      </c>
      <c r="G101" s="13">
        <v>299</v>
      </c>
      <c r="H101" s="14">
        <v>133.9</v>
      </c>
      <c r="I101" s="13">
        <f t="shared" si="0"/>
        <v>80206.100000000006</v>
      </c>
      <c r="J101" s="13">
        <f t="shared" si="1"/>
        <v>40036.1</v>
      </c>
      <c r="K101" s="15" t="s">
        <v>23</v>
      </c>
    </row>
    <row r="102" spans="2:11" ht="15.75" customHeight="1" x14ac:dyDescent="0.25">
      <c r="B102" s="11">
        <v>199</v>
      </c>
      <c r="C102" s="9">
        <v>2021</v>
      </c>
      <c r="D102" s="11" t="s">
        <v>6</v>
      </c>
      <c r="E102" s="11" t="s">
        <v>24</v>
      </c>
      <c r="F102" s="12">
        <v>599</v>
      </c>
      <c r="G102" s="13">
        <v>299</v>
      </c>
      <c r="H102" s="14">
        <v>288.60000000000002</v>
      </c>
      <c r="I102" s="13">
        <f t="shared" si="0"/>
        <v>172871.40000000002</v>
      </c>
      <c r="J102" s="13">
        <f t="shared" si="1"/>
        <v>86291.400000000009</v>
      </c>
      <c r="K102" s="15" t="s">
        <v>23</v>
      </c>
    </row>
    <row r="103" spans="2:11" ht="15.75" customHeight="1" x14ac:dyDescent="0.25">
      <c r="B103" s="11">
        <v>200</v>
      </c>
      <c r="C103" s="9">
        <v>2021</v>
      </c>
      <c r="D103" s="11" t="s">
        <v>6</v>
      </c>
      <c r="E103" s="11" t="s">
        <v>27</v>
      </c>
      <c r="F103" s="12">
        <v>199</v>
      </c>
      <c r="G103" s="13">
        <v>39</v>
      </c>
      <c r="H103" s="14">
        <v>200.10000000000002</v>
      </c>
      <c r="I103" s="13">
        <f t="shared" si="0"/>
        <v>39819.9</v>
      </c>
      <c r="J103" s="13">
        <f t="shared" si="1"/>
        <v>7803.9000000000005</v>
      </c>
      <c r="K103" s="11" t="s">
        <v>25</v>
      </c>
    </row>
    <row r="104" spans="2:11" ht="15.75" customHeight="1" x14ac:dyDescent="0.25"/>
    <row r="105" spans="2:11" ht="15.75" customHeight="1" x14ac:dyDescent="0.25"/>
    <row r="106" spans="2:11" ht="15.75" customHeight="1" x14ac:dyDescent="0.25"/>
    <row r="107" spans="2:11" ht="15.75" customHeight="1" x14ac:dyDescent="0.3">
      <c r="C107" s="16"/>
    </row>
    <row r="108" spans="2:11" ht="15.75" customHeight="1" x14ac:dyDescent="0.3">
      <c r="C108" s="16"/>
    </row>
    <row r="109" spans="2:11" ht="15.75" customHeight="1" x14ac:dyDescent="0.3">
      <c r="C109" s="16"/>
    </row>
    <row r="110" spans="2:11" ht="15.75" customHeight="1" x14ac:dyDescent="0.3">
      <c r="C110" s="16"/>
    </row>
    <row r="111" spans="2:11" ht="15.75" customHeight="1" x14ac:dyDescent="0.3">
      <c r="C111" s="16"/>
    </row>
    <row r="112" spans="2:11" ht="15.75" customHeight="1" x14ac:dyDescent="0.3">
      <c r="C112" s="16"/>
    </row>
    <row r="113" spans="3:3" ht="15.75" customHeight="1" x14ac:dyDescent="0.3">
      <c r="C113" s="16"/>
    </row>
    <row r="114" spans="3:3" ht="15.75" customHeight="1" x14ac:dyDescent="0.3">
      <c r="C114" s="16"/>
    </row>
    <row r="115" spans="3:3" ht="15.75" customHeight="1" x14ac:dyDescent="0.3">
      <c r="C115" s="16"/>
    </row>
    <row r="116" spans="3:3" ht="15.75" customHeight="1" x14ac:dyDescent="0.3">
      <c r="C116" s="16"/>
    </row>
    <row r="117" spans="3:3" ht="15.75" customHeight="1" x14ac:dyDescent="0.3">
      <c r="C117" s="16"/>
    </row>
    <row r="118" spans="3:3" ht="15.75" customHeight="1" x14ac:dyDescent="0.3">
      <c r="C118" s="16"/>
    </row>
    <row r="119" spans="3:3" ht="15.75" customHeight="1" x14ac:dyDescent="0.3">
      <c r="C119" s="16"/>
    </row>
    <row r="120" spans="3:3" ht="15.75" customHeight="1" x14ac:dyDescent="0.3">
      <c r="C120" s="16"/>
    </row>
    <row r="121" spans="3:3" ht="15.75" customHeight="1" x14ac:dyDescent="0.3">
      <c r="C121" s="16"/>
    </row>
    <row r="122" spans="3:3" ht="15.75" customHeight="1" x14ac:dyDescent="0.3">
      <c r="C122" s="16"/>
    </row>
    <row r="123" spans="3:3" ht="15.75" customHeight="1" x14ac:dyDescent="0.3">
      <c r="C123" s="16"/>
    </row>
    <row r="124" spans="3:3" ht="15.75" customHeight="1" x14ac:dyDescent="0.3">
      <c r="C124" s="16"/>
    </row>
    <row r="125" spans="3:3" ht="15.75" customHeight="1" x14ac:dyDescent="0.3">
      <c r="C125" s="16"/>
    </row>
    <row r="126" spans="3:3" ht="15.75" customHeight="1" x14ac:dyDescent="0.3">
      <c r="C126" s="16"/>
    </row>
    <row r="127" spans="3:3" ht="15.75" customHeight="1" x14ac:dyDescent="0.3">
      <c r="C127" s="16"/>
    </row>
    <row r="128" spans="3:3" ht="15.75" customHeight="1" x14ac:dyDescent="0.3">
      <c r="C128" s="16"/>
    </row>
    <row r="129" spans="3:3" ht="15.75" customHeight="1" x14ac:dyDescent="0.3">
      <c r="C129" s="16"/>
    </row>
    <row r="130" spans="3:3" ht="15.75" customHeight="1" x14ac:dyDescent="0.3">
      <c r="C130" s="16"/>
    </row>
    <row r="131" spans="3:3" ht="15.75" customHeight="1" x14ac:dyDescent="0.3">
      <c r="C131" s="16"/>
    </row>
    <row r="132" spans="3:3" ht="15.75" customHeight="1" x14ac:dyDescent="0.3">
      <c r="C132" s="16"/>
    </row>
    <row r="133" spans="3:3" ht="15.75" customHeight="1" x14ac:dyDescent="0.3">
      <c r="C133" s="16"/>
    </row>
    <row r="134" spans="3:3" ht="15.75" customHeight="1" x14ac:dyDescent="0.3">
      <c r="C134" s="16"/>
    </row>
    <row r="135" spans="3:3" ht="15.75" customHeight="1" x14ac:dyDescent="0.3">
      <c r="C135" s="16"/>
    </row>
    <row r="136" spans="3:3" ht="15.75" customHeight="1" x14ac:dyDescent="0.3">
      <c r="C136" s="16"/>
    </row>
    <row r="137" spans="3:3" ht="15.75" customHeight="1" x14ac:dyDescent="0.3">
      <c r="C137" s="16"/>
    </row>
    <row r="138" spans="3:3" ht="15.75" customHeight="1" x14ac:dyDescent="0.3">
      <c r="C138" s="16"/>
    </row>
    <row r="139" spans="3:3" ht="15.75" customHeight="1" x14ac:dyDescent="0.3">
      <c r="C139" s="16"/>
    </row>
    <row r="140" spans="3:3" ht="15.75" customHeight="1" x14ac:dyDescent="0.3">
      <c r="C140" s="16"/>
    </row>
    <row r="141" spans="3:3" ht="15.75" customHeight="1" x14ac:dyDescent="0.3">
      <c r="C141" s="16"/>
    </row>
    <row r="142" spans="3:3" ht="15.75" customHeight="1" x14ac:dyDescent="0.3">
      <c r="C142" s="16"/>
    </row>
    <row r="143" spans="3:3" ht="15.75" customHeight="1" x14ac:dyDescent="0.3">
      <c r="C143" s="16"/>
    </row>
    <row r="144" spans="3:3" ht="15.75" customHeight="1" x14ac:dyDescent="0.3">
      <c r="C144" s="16"/>
    </row>
    <row r="145" spans="3:3" ht="15.75" customHeight="1" x14ac:dyDescent="0.3">
      <c r="C145" s="16"/>
    </row>
    <row r="146" spans="3:3" ht="15.75" customHeight="1" x14ac:dyDescent="0.3">
      <c r="C146" s="16"/>
    </row>
    <row r="147" spans="3:3" ht="15.75" customHeight="1" x14ac:dyDescent="0.3">
      <c r="C147" s="16"/>
    </row>
    <row r="148" spans="3:3" ht="15.75" customHeight="1" x14ac:dyDescent="0.3">
      <c r="C148" s="16"/>
    </row>
    <row r="149" spans="3:3" ht="15.75" customHeight="1" x14ac:dyDescent="0.3">
      <c r="C149" s="16"/>
    </row>
    <row r="150" spans="3:3" ht="15.75" customHeight="1" x14ac:dyDescent="0.3">
      <c r="C150" s="16"/>
    </row>
    <row r="151" spans="3:3" ht="15.75" customHeight="1" x14ac:dyDescent="0.3">
      <c r="C151" s="16"/>
    </row>
    <row r="152" spans="3:3" ht="15.75" customHeight="1" x14ac:dyDescent="0.3">
      <c r="C152" s="16"/>
    </row>
    <row r="153" spans="3:3" ht="15.75" customHeight="1" x14ac:dyDescent="0.3">
      <c r="C153" s="16"/>
    </row>
    <row r="154" spans="3:3" ht="15.75" customHeight="1" x14ac:dyDescent="0.3">
      <c r="C154" s="16"/>
    </row>
    <row r="155" spans="3:3" ht="15.75" customHeight="1" x14ac:dyDescent="0.3">
      <c r="C155" s="16"/>
    </row>
    <row r="156" spans="3:3" ht="15.75" customHeight="1" x14ac:dyDescent="0.3">
      <c r="C156" s="16"/>
    </row>
    <row r="157" spans="3:3" ht="15.75" customHeight="1" x14ac:dyDescent="0.3">
      <c r="C157" s="16"/>
    </row>
    <row r="158" spans="3:3" ht="15.75" customHeight="1" x14ac:dyDescent="0.3">
      <c r="C158" s="16"/>
    </row>
    <row r="159" spans="3:3" ht="15.75" customHeight="1" x14ac:dyDescent="0.3">
      <c r="C159" s="16"/>
    </row>
    <row r="160" spans="3:3" ht="15.75" customHeight="1" x14ac:dyDescent="0.3">
      <c r="C160" s="16"/>
    </row>
    <row r="161" spans="3:3" ht="15.75" customHeight="1" x14ac:dyDescent="0.3">
      <c r="C161" s="16"/>
    </row>
    <row r="162" spans="3:3" ht="15.75" customHeight="1" x14ac:dyDescent="0.3">
      <c r="C162" s="16"/>
    </row>
    <row r="163" spans="3:3" ht="15.75" customHeight="1" x14ac:dyDescent="0.3">
      <c r="C163" s="16"/>
    </row>
    <row r="164" spans="3:3" ht="15.75" customHeight="1" x14ac:dyDescent="0.3">
      <c r="C164" s="16"/>
    </row>
    <row r="165" spans="3:3" ht="15.75" customHeight="1" x14ac:dyDescent="0.3">
      <c r="C165" s="16"/>
    </row>
    <row r="166" spans="3:3" ht="15.75" customHeight="1" x14ac:dyDescent="0.3">
      <c r="C166" s="16"/>
    </row>
    <row r="167" spans="3:3" ht="15.75" customHeight="1" x14ac:dyDescent="0.3">
      <c r="C167" s="16"/>
    </row>
    <row r="168" spans="3:3" ht="15.75" customHeight="1" x14ac:dyDescent="0.3">
      <c r="C168" s="16"/>
    </row>
    <row r="169" spans="3:3" ht="15.75" customHeight="1" x14ac:dyDescent="0.3">
      <c r="C169" s="16"/>
    </row>
    <row r="170" spans="3:3" ht="15.75" customHeight="1" x14ac:dyDescent="0.3">
      <c r="C170" s="16"/>
    </row>
    <row r="171" spans="3:3" ht="15.75" customHeight="1" x14ac:dyDescent="0.3">
      <c r="C171" s="16"/>
    </row>
    <row r="172" spans="3:3" ht="15.75" customHeight="1" x14ac:dyDescent="0.3">
      <c r="C172" s="16"/>
    </row>
    <row r="173" spans="3:3" ht="15.75" customHeight="1" x14ac:dyDescent="0.3">
      <c r="C173" s="16"/>
    </row>
    <row r="174" spans="3:3" ht="15.75" customHeight="1" x14ac:dyDescent="0.3">
      <c r="C174" s="16"/>
    </row>
    <row r="175" spans="3:3" ht="15.75" customHeight="1" x14ac:dyDescent="0.3">
      <c r="C175" s="16"/>
    </row>
    <row r="176" spans="3:3" ht="15.75" customHeight="1" x14ac:dyDescent="0.3">
      <c r="C176" s="16"/>
    </row>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B2:K2"/>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D3D8D-D9A5-44C7-8BC5-220F43E17F02}">
  <dimension ref="A4:M11"/>
  <sheetViews>
    <sheetView showGridLines="0" topLeftCell="A2" workbookViewId="0">
      <selection activeCell="E5" sqref="E5"/>
    </sheetView>
  </sheetViews>
  <sheetFormatPr defaultRowHeight="15.75" x14ac:dyDescent="0.25"/>
  <cols>
    <col min="1" max="1" width="19.5" bestFit="1" customWidth="1"/>
    <col min="2" max="2" width="9.375" bestFit="1" customWidth="1"/>
    <col min="3" max="4" width="4.875" bestFit="1" customWidth="1"/>
    <col min="5" max="5" width="11" bestFit="1" customWidth="1"/>
  </cols>
  <sheetData>
    <row r="4" spans="1:13" x14ac:dyDescent="0.25">
      <c r="G4" s="1" t="s">
        <v>0</v>
      </c>
      <c r="H4" s="1"/>
      <c r="I4" s="1"/>
      <c r="J4" s="1"/>
      <c r="K4" s="1"/>
      <c r="L4" s="1"/>
      <c r="M4" s="1"/>
    </row>
    <row r="5" spans="1:13" x14ac:dyDescent="0.25">
      <c r="A5" t="s">
        <v>1</v>
      </c>
      <c r="B5" s="2" t="s">
        <v>2</v>
      </c>
    </row>
    <row r="6" spans="1:13" x14ac:dyDescent="0.25">
      <c r="A6" s="2" t="s">
        <v>3</v>
      </c>
      <c r="B6" s="2">
        <v>2019</v>
      </c>
      <c r="C6" s="2">
        <v>2020</v>
      </c>
      <c r="D6" s="2">
        <v>2021</v>
      </c>
      <c r="E6" t="s">
        <v>4</v>
      </c>
    </row>
    <row r="7" spans="1:13" x14ac:dyDescent="0.25">
      <c r="A7" s="3" t="s">
        <v>5</v>
      </c>
      <c r="B7" s="4">
        <v>3416.6000000000008</v>
      </c>
      <c r="C7" s="4">
        <v>3549.7000000000012</v>
      </c>
      <c r="D7" s="4">
        <v>1699.2</v>
      </c>
      <c r="E7" s="4">
        <v>8665.5000000000018</v>
      </c>
    </row>
    <row r="8" spans="1:13" x14ac:dyDescent="0.25">
      <c r="A8" s="3" t="s">
        <v>6</v>
      </c>
      <c r="B8" s="4">
        <v>1688.3</v>
      </c>
      <c r="C8" s="4"/>
      <c r="D8" s="4">
        <v>2161.5</v>
      </c>
      <c r="E8" s="4">
        <v>3849.8</v>
      </c>
    </row>
    <row r="9" spans="1:13" x14ac:dyDescent="0.25">
      <c r="A9" s="3" t="s">
        <v>7</v>
      </c>
      <c r="B9" s="4">
        <v>2052.2000000000003</v>
      </c>
      <c r="C9" s="4">
        <v>3168.6000000000008</v>
      </c>
      <c r="D9" s="4">
        <v>2441.6000000000004</v>
      </c>
      <c r="E9" s="4">
        <v>7662.4000000000015</v>
      </c>
    </row>
    <row r="10" spans="1:13" x14ac:dyDescent="0.25">
      <c r="A10" s="3" t="s">
        <v>8</v>
      </c>
      <c r="B10" s="4">
        <v>2330.2000000000003</v>
      </c>
      <c r="C10" s="4">
        <v>2198.4</v>
      </c>
      <c r="D10" s="4">
        <v>2611.2000000000003</v>
      </c>
      <c r="E10" s="4">
        <v>7139.8000000000011</v>
      </c>
    </row>
    <row r="11" spans="1:13" x14ac:dyDescent="0.25">
      <c r="A11" s="3" t="s">
        <v>4</v>
      </c>
      <c r="B11" s="4">
        <v>9487.3000000000011</v>
      </c>
      <c r="C11" s="4">
        <v>8916.7000000000025</v>
      </c>
      <c r="D11" s="4">
        <v>8913.5</v>
      </c>
      <c r="E11" s="5">
        <v>27317.500000000007</v>
      </c>
    </row>
  </sheetData>
  <mergeCells count="1">
    <mergeCell ref="G4:M4"/>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71BEC-9087-4F68-8D8E-22DC70ACB14F}">
  <dimension ref="A2:M8"/>
  <sheetViews>
    <sheetView showGridLines="0" workbookViewId="0">
      <selection activeCell="E11" sqref="E11"/>
    </sheetView>
  </sheetViews>
  <sheetFormatPr defaultRowHeight="15.75" x14ac:dyDescent="0.25"/>
  <cols>
    <col min="1" max="1" width="22.625" bestFit="1" customWidth="1"/>
    <col min="2" max="2" width="9.375" bestFit="1" customWidth="1"/>
    <col min="3" max="4" width="6.375" bestFit="1" customWidth="1"/>
    <col min="5" max="5" width="11" bestFit="1" customWidth="1"/>
  </cols>
  <sheetData>
    <row r="2" spans="1:13" x14ac:dyDescent="0.25">
      <c r="A2" s="17" t="s">
        <v>28</v>
      </c>
      <c r="B2" s="19" t="s">
        <v>2</v>
      </c>
      <c r="G2" s="1" t="s">
        <v>29</v>
      </c>
      <c r="H2" s="1"/>
      <c r="I2" s="1"/>
      <c r="J2" s="1"/>
      <c r="K2" s="1"/>
      <c r="L2" s="1"/>
      <c r="M2" s="1"/>
    </row>
    <row r="3" spans="1:13" x14ac:dyDescent="0.25">
      <c r="A3" s="17" t="s">
        <v>3</v>
      </c>
      <c r="B3" s="2">
        <v>2019</v>
      </c>
      <c r="C3" s="2">
        <v>2020</v>
      </c>
      <c r="D3" s="2">
        <v>2021</v>
      </c>
      <c r="E3" t="s">
        <v>4</v>
      </c>
    </row>
    <row r="4" spans="1:13" x14ac:dyDescent="0.25">
      <c r="A4" s="3" t="s">
        <v>5</v>
      </c>
      <c r="B4" s="20">
        <v>985.36363636363637</v>
      </c>
      <c r="C4" s="20">
        <v>799</v>
      </c>
      <c r="D4" s="20">
        <v>682.33333333333337</v>
      </c>
      <c r="E4" s="18">
        <v>845.55172413793105</v>
      </c>
    </row>
    <row r="5" spans="1:13" x14ac:dyDescent="0.25">
      <c r="A5" s="3" t="s">
        <v>6</v>
      </c>
      <c r="B5" s="20">
        <v>842.75</v>
      </c>
      <c r="C5" s="20"/>
      <c r="D5" s="20">
        <v>609</v>
      </c>
      <c r="E5" s="18">
        <v>712.88888888888891</v>
      </c>
    </row>
    <row r="6" spans="1:13" x14ac:dyDescent="0.25">
      <c r="A6" s="3" t="s">
        <v>7</v>
      </c>
      <c r="B6" s="20">
        <v>557.33333333333337</v>
      </c>
      <c r="C6" s="20">
        <v>790.66666666666663</v>
      </c>
      <c r="D6" s="20">
        <v>493.44444444444446</v>
      </c>
      <c r="E6" s="18">
        <v>639.74074074074076</v>
      </c>
    </row>
    <row r="7" spans="1:13" x14ac:dyDescent="0.25">
      <c r="A7" s="3" t="s">
        <v>8</v>
      </c>
      <c r="B7" s="20">
        <v>830.25</v>
      </c>
      <c r="C7" s="20">
        <v>394</v>
      </c>
      <c r="D7" s="20">
        <v>592.75</v>
      </c>
      <c r="E7" s="18">
        <v>589.38461538461536</v>
      </c>
    </row>
    <row r="8" spans="1:13" x14ac:dyDescent="0.25">
      <c r="A8" s="3" t="s">
        <v>4</v>
      </c>
      <c r="B8" s="20">
        <v>835.36363636363637</v>
      </c>
      <c r="C8" s="20">
        <v>676.94117647058829</v>
      </c>
      <c r="D8" s="20">
        <v>586.87878787878788</v>
      </c>
      <c r="E8" s="18">
        <v>699.5</v>
      </c>
    </row>
  </sheetData>
  <mergeCells count="1">
    <mergeCell ref="G2:M2"/>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48046-89F2-43B7-A2F0-2AAB434B3CFA}">
  <dimension ref="A2:L7"/>
  <sheetViews>
    <sheetView showGridLines="0" topLeftCell="D1" workbookViewId="0">
      <selection activeCell="M11" sqref="M11"/>
    </sheetView>
  </sheetViews>
  <sheetFormatPr defaultRowHeight="15.75" x14ac:dyDescent="0.25"/>
  <cols>
    <col min="1" max="1" width="12.5" bestFit="1" customWidth="1"/>
    <col min="2" max="2" width="15.625" customWidth="1"/>
    <col min="3" max="3" width="15.125" customWidth="1"/>
    <col min="4" max="4" width="12.25" bestFit="1" customWidth="1"/>
  </cols>
  <sheetData>
    <row r="2" spans="1:12" x14ac:dyDescent="0.25">
      <c r="A2" s="24" t="s">
        <v>3</v>
      </c>
      <c r="B2" s="2" t="s">
        <v>30</v>
      </c>
      <c r="C2" s="2" t="s">
        <v>31</v>
      </c>
      <c r="D2" s="2" t="s">
        <v>32</v>
      </c>
      <c r="F2" s="25" t="s">
        <v>33</v>
      </c>
      <c r="G2" s="25"/>
      <c r="H2" s="25"/>
      <c r="I2" s="25"/>
      <c r="J2" s="25"/>
      <c r="K2" s="25"/>
      <c r="L2" s="25"/>
    </row>
    <row r="3" spans="1:12" x14ac:dyDescent="0.25">
      <c r="A3" s="3" t="s">
        <v>5</v>
      </c>
      <c r="B3" s="23">
        <v>7370734.5000000009</v>
      </c>
      <c r="C3" s="22">
        <v>2558429.5000000005</v>
      </c>
      <c r="D3" s="22">
        <v>4812305</v>
      </c>
    </row>
    <row r="4" spans="1:12" x14ac:dyDescent="0.25">
      <c r="A4" s="3" t="s">
        <v>6</v>
      </c>
      <c r="B4" s="23">
        <v>2431805.2000000002</v>
      </c>
      <c r="C4" s="22">
        <v>751190.2</v>
      </c>
      <c r="D4" s="22">
        <v>1680615.0000000002</v>
      </c>
    </row>
    <row r="5" spans="1:12" x14ac:dyDescent="0.25">
      <c r="A5" s="3" t="s">
        <v>7</v>
      </c>
      <c r="B5" s="23">
        <v>4469492.6000000006</v>
      </c>
      <c r="C5" s="22">
        <v>1526569.6</v>
      </c>
      <c r="D5" s="22">
        <v>2942923.0000000005</v>
      </c>
    </row>
    <row r="6" spans="1:12" x14ac:dyDescent="0.25">
      <c r="A6" s="3" t="s">
        <v>8</v>
      </c>
      <c r="B6" s="23">
        <v>3919300.2000000007</v>
      </c>
      <c r="C6" s="22">
        <v>1251784.2</v>
      </c>
      <c r="D6" s="22">
        <v>2667516.0000000009</v>
      </c>
    </row>
    <row r="7" spans="1:12" x14ac:dyDescent="0.25">
      <c r="A7" s="3" t="s">
        <v>4</v>
      </c>
      <c r="B7" s="22">
        <v>18191332.5</v>
      </c>
      <c r="C7" s="21">
        <v>6087973.5000000009</v>
      </c>
      <c r="D7" s="21">
        <v>12103359.000000004</v>
      </c>
    </row>
  </sheetData>
  <mergeCells count="1">
    <mergeCell ref="F2:L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27DCF-2F0C-4FC3-9401-8AE777936E78}">
  <dimension ref="A1:E27"/>
  <sheetViews>
    <sheetView showGridLines="0" tabSelected="1" workbookViewId="0">
      <selection activeCell="L10" sqref="L10"/>
    </sheetView>
  </sheetViews>
  <sheetFormatPr defaultRowHeight="15.75" x14ac:dyDescent="0.25"/>
  <cols>
    <col min="1" max="1" width="19.5" bestFit="1" customWidth="1"/>
    <col min="2" max="2" width="6.625" bestFit="1" customWidth="1"/>
    <col min="3" max="4" width="4.875" bestFit="1" customWidth="1"/>
    <col min="5" max="5" width="11" style="2" bestFit="1" customWidth="1"/>
    <col min="6" max="6" width="13.375" bestFit="1" customWidth="1"/>
    <col min="7" max="8" width="4.875" bestFit="1" customWidth="1"/>
    <col min="9" max="9" width="16.625" bestFit="1" customWidth="1"/>
    <col min="10" max="10" width="9.375" bestFit="1" customWidth="1"/>
    <col min="11" max="12" width="4.875" bestFit="1" customWidth="1"/>
    <col min="13" max="13" width="12.5" bestFit="1" customWidth="1"/>
    <col min="14" max="14" width="12.25" bestFit="1" customWidth="1"/>
    <col min="15" max="16" width="4.875" bestFit="1" customWidth="1"/>
    <col min="17" max="17" width="15.5" bestFit="1" customWidth="1"/>
    <col min="18" max="18" width="11" bestFit="1" customWidth="1"/>
  </cols>
  <sheetData>
    <row r="1" spans="1:5" x14ac:dyDescent="0.25">
      <c r="A1" s="17" t="s">
        <v>34</v>
      </c>
      <c r="B1" s="17" t="s">
        <v>11</v>
      </c>
    </row>
    <row r="2" spans="1:5" x14ac:dyDescent="0.25">
      <c r="A2" s="17" t="s">
        <v>18</v>
      </c>
      <c r="B2" s="2">
        <v>2019</v>
      </c>
      <c r="C2" s="2">
        <v>2020</v>
      </c>
      <c r="D2" s="2">
        <v>2021</v>
      </c>
      <c r="E2" s="2" t="s">
        <v>4</v>
      </c>
    </row>
    <row r="3" spans="1:5" x14ac:dyDescent="0.25">
      <c r="A3" s="3" t="s">
        <v>20</v>
      </c>
      <c r="B3" s="4">
        <v>3445.8</v>
      </c>
      <c r="C3" s="4">
        <v>2368.8000000000002</v>
      </c>
      <c r="D3" s="4">
        <v>1426.8</v>
      </c>
      <c r="E3" s="4">
        <v>7241.4000000000005</v>
      </c>
    </row>
    <row r="4" spans="1:5" x14ac:dyDescent="0.25">
      <c r="A4" s="26" t="s">
        <v>27</v>
      </c>
      <c r="B4" s="4">
        <v>758.2</v>
      </c>
      <c r="C4" s="4">
        <v>1329.9</v>
      </c>
      <c r="D4" s="4">
        <v>400.6</v>
      </c>
      <c r="E4" s="4">
        <v>2488.7000000000003</v>
      </c>
    </row>
    <row r="5" spans="1:5" x14ac:dyDescent="0.25">
      <c r="A5" s="26" t="s">
        <v>24</v>
      </c>
      <c r="B5" s="4">
        <v>716.7</v>
      </c>
      <c r="C5" s="4">
        <v>155.60000000000002</v>
      </c>
      <c r="D5" s="4">
        <v>381.20000000000005</v>
      </c>
      <c r="E5" s="4">
        <v>1253.5</v>
      </c>
    </row>
    <row r="6" spans="1:5" x14ac:dyDescent="0.25">
      <c r="A6" s="26" t="s">
        <v>19</v>
      </c>
      <c r="B6" s="4">
        <v>455.9</v>
      </c>
      <c r="C6" s="4">
        <v>377.6</v>
      </c>
      <c r="D6" s="4">
        <v>425.70000000000005</v>
      </c>
      <c r="E6" s="4">
        <v>1259.2</v>
      </c>
    </row>
    <row r="7" spans="1:5" x14ac:dyDescent="0.25">
      <c r="A7" s="26" t="s">
        <v>26</v>
      </c>
      <c r="B7" s="4">
        <v>311</v>
      </c>
      <c r="C7" s="4"/>
      <c r="D7" s="4">
        <v>219.3</v>
      </c>
      <c r="E7" s="4">
        <v>530.29999999999995</v>
      </c>
    </row>
    <row r="8" spans="1:5" x14ac:dyDescent="0.25">
      <c r="A8" s="26" t="s">
        <v>22</v>
      </c>
      <c r="B8" s="4">
        <v>1204</v>
      </c>
      <c r="C8" s="4">
        <v>505.70000000000005</v>
      </c>
      <c r="D8" s="4"/>
      <c r="E8" s="4">
        <v>1709.7</v>
      </c>
    </row>
    <row r="9" spans="1:5" x14ac:dyDescent="0.25">
      <c r="A9" s="3" t="s">
        <v>23</v>
      </c>
      <c r="B9" s="4">
        <v>3291.4000000000005</v>
      </c>
      <c r="C9" s="4">
        <v>2180.5000000000005</v>
      </c>
      <c r="D9" s="4">
        <v>1163.5</v>
      </c>
      <c r="E9" s="4">
        <v>6635.4</v>
      </c>
    </row>
    <row r="10" spans="1:5" x14ac:dyDescent="0.25">
      <c r="A10" s="26" t="s">
        <v>27</v>
      </c>
      <c r="B10" s="4">
        <v>901.80000000000007</v>
      </c>
      <c r="C10" s="4">
        <v>357.8</v>
      </c>
      <c r="D10" s="4">
        <v>133</v>
      </c>
      <c r="E10" s="4">
        <v>1392.6000000000001</v>
      </c>
    </row>
    <row r="11" spans="1:5" x14ac:dyDescent="0.25">
      <c r="A11" s="26" t="s">
        <v>24</v>
      </c>
      <c r="B11" s="4">
        <v>755.40000000000009</v>
      </c>
      <c r="C11" s="4">
        <v>403.6</v>
      </c>
      <c r="D11" s="4">
        <v>422.5</v>
      </c>
      <c r="E11" s="4">
        <v>1581.5</v>
      </c>
    </row>
    <row r="12" spans="1:5" x14ac:dyDescent="0.25">
      <c r="A12" s="26" t="s">
        <v>19</v>
      </c>
      <c r="B12" s="4">
        <v>972</v>
      </c>
      <c r="C12" s="4"/>
      <c r="D12" s="4">
        <v>250.4</v>
      </c>
      <c r="E12" s="4">
        <v>1222.4000000000001</v>
      </c>
    </row>
    <row r="13" spans="1:5" x14ac:dyDescent="0.25">
      <c r="A13" s="26" t="s">
        <v>26</v>
      </c>
      <c r="B13" s="4">
        <v>450.90000000000003</v>
      </c>
      <c r="C13" s="4">
        <v>921.30000000000007</v>
      </c>
      <c r="D13" s="4"/>
      <c r="E13" s="4">
        <v>1372.2</v>
      </c>
    </row>
    <row r="14" spans="1:5" x14ac:dyDescent="0.25">
      <c r="A14" s="26" t="s">
        <v>22</v>
      </c>
      <c r="B14" s="4">
        <v>211.3</v>
      </c>
      <c r="C14" s="4">
        <v>497.80000000000007</v>
      </c>
      <c r="D14" s="4">
        <v>357.6</v>
      </c>
      <c r="E14" s="4">
        <v>1066.7000000000003</v>
      </c>
    </row>
    <row r="15" spans="1:5" x14ac:dyDescent="0.25">
      <c r="A15" s="3" t="s">
        <v>25</v>
      </c>
      <c r="B15" s="4">
        <v>1819.1000000000004</v>
      </c>
      <c r="C15" s="4">
        <v>808.50000000000011</v>
      </c>
      <c r="D15" s="4">
        <v>1584.3000000000002</v>
      </c>
      <c r="E15" s="4">
        <v>4211.9000000000005</v>
      </c>
    </row>
    <row r="16" spans="1:5" x14ac:dyDescent="0.25">
      <c r="A16" s="26" t="s">
        <v>27</v>
      </c>
      <c r="B16" s="4">
        <v>368.70000000000005</v>
      </c>
      <c r="C16" s="4">
        <v>411.20000000000005</v>
      </c>
      <c r="D16" s="4">
        <v>973.5</v>
      </c>
      <c r="E16" s="4">
        <v>1753.4</v>
      </c>
    </row>
    <row r="17" spans="1:5" x14ac:dyDescent="0.25">
      <c r="A17" s="26" t="s">
        <v>24</v>
      </c>
      <c r="B17" s="4">
        <v>109</v>
      </c>
      <c r="C17" s="4">
        <v>397.30000000000007</v>
      </c>
      <c r="D17" s="4"/>
      <c r="E17" s="4">
        <v>506.30000000000007</v>
      </c>
    </row>
    <row r="18" spans="1:5" x14ac:dyDescent="0.25">
      <c r="A18" s="26" t="s">
        <v>19</v>
      </c>
      <c r="B18" s="4">
        <v>827.1</v>
      </c>
      <c r="C18" s="4"/>
      <c r="D18" s="4"/>
      <c r="E18" s="4">
        <v>827.1</v>
      </c>
    </row>
    <row r="19" spans="1:5" x14ac:dyDescent="0.25">
      <c r="A19" s="26" t="s">
        <v>26</v>
      </c>
      <c r="B19" s="4">
        <v>291.90000000000003</v>
      </c>
      <c r="C19" s="4"/>
      <c r="D19" s="4">
        <v>400.90000000000003</v>
      </c>
      <c r="E19" s="4">
        <v>692.80000000000007</v>
      </c>
    </row>
    <row r="20" spans="1:5" x14ac:dyDescent="0.25">
      <c r="A20" s="26" t="s">
        <v>22</v>
      </c>
      <c r="B20" s="4">
        <v>222.4</v>
      </c>
      <c r="C20" s="4"/>
      <c r="D20" s="4">
        <v>209.9</v>
      </c>
      <c r="E20" s="4">
        <v>432.3</v>
      </c>
    </row>
    <row r="21" spans="1:5" x14ac:dyDescent="0.25">
      <c r="A21" s="3" t="s">
        <v>21</v>
      </c>
      <c r="B21" s="4">
        <v>931</v>
      </c>
      <c r="C21" s="4">
        <v>3558.9000000000005</v>
      </c>
      <c r="D21" s="4">
        <v>4738.9000000000005</v>
      </c>
      <c r="E21" s="4">
        <v>9228.8000000000011</v>
      </c>
    </row>
    <row r="22" spans="1:5" x14ac:dyDescent="0.25">
      <c r="A22" s="26" t="s">
        <v>27</v>
      </c>
      <c r="B22" s="5"/>
      <c r="C22" s="5">
        <v>707.90000000000009</v>
      </c>
      <c r="D22" s="5">
        <v>2571.6000000000004</v>
      </c>
      <c r="E22" s="4">
        <v>3279.5000000000005</v>
      </c>
    </row>
    <row r="23" spans="1:5" x14ac:dyDescent="0.25">
      <c r="A23" s="26" t="s">
        <v>24</v>
      </c>
      <c r="B23" s="5"/>
      <c r="C23" s="5">
        <v>996.2</v>
      </c>
      <c r="D23" s="5">
        <v>433.90000000000003</v>
      </c>
      <c r="E23" s="4">
        <v>1430.1000000000001</v>
      </c>
    </row>
    <row r="24" spans="1:5" x14ac:dyDescent="0.25">
      <c r="A24" s="26" t="s">
        <v>19</v>
      </c>
      <c r="B24" s="5">
        <v>300.7</v>
      </c>
      <c r="C24" s="5">
        <v>471.1</v>
      </c>
      <c r="D24" s="5">
        <v>739.80000000000007</v>
      </c>
      <c r="E24" s="4">
        <v>1511.6</v>
      </c>
    </row>
    <row r="25" spans="1:5" x14ac:dyDescent="0.25">
      <c r="A25" s="26" t="s">
        <v>26</v>
      </c>
      <c r="B25" s="5">
        <v>115.10000000000001</v>
      </c>
      <c r="C25" s="5">
        <v>581.70000000000005</v>
      </c>
      <c r="D25" s="5">
        <v>454.3</v>
      </c>
      <c r="E25" s="4">
        <v>1151.1000000000001</v>
      </c>
    </row>
    <row r="26" spans="1:5" x14ac:dyDescent="0.25">
      <c r="A26" s="26" t="s">
        <v>22</v>
      </c>
      <c r="B26" s="5">
        <v>515.20000000000005</v>
      </c>
      <c r="C26" s="5">
        <v>802</v>
      </c>
      <c r="D26" s="5">
        <v>539.29999999999995</v>
      </c>
      <c r="E26" s="4">
        <v>1856.5</v>
      </c>
    </row>
    <row r="27" spans="1:5" x14ac:dyDescent="0.25">
      <c r="A27" s="3" t="s">
        <v>4</v>
      </c>
      <c r="B27" s="5">
        <v>9487.3000000000011</v>
      </c>
      <c r="C27" s="5">
        <v>8916.7000000000007</v>
      </c>
      <c r="D27" s="5">
        <v>8913.4999999999982</v>
      </c>
      <c r="E27" s="4">
        <v>27317.499999999993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Quantity Sold By Region &amp; Year</vt:lpstr>
      <vt:lpstr>Average Price per Region &amp; Year</vt:lpstr>
      <vt:lpstr>Profit By Region</vt:lpstr>
      <vt:lpstr>Pivot Table With Slicer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Emmanuel Kouassi</dc:creator>
  <cp:lastModifiedBy>Paul Emmanuel Kouassi</cp:lastModifiedBy>
  <dcterms:created xsi:type="dcterms:W3CDTF">2026-03-06T18:11:25Z</dcterms:created>
  <dcterms:modified xsi:type="dcterms:W3CDTF">2026-03-06T19:00:30Z</dcterms:modified>
</cp:coreProperties>
</file>