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13_ncr:1_{5EF58861-4C57-465C-8450-F4D5BA971566}" xr6:coauthVersionLast="47" xr6:coauthVersionMax="47" xr10:uidLastSave="{00000000-0000-0000-0000-000000000000}"/>
  <bookViews>
    <workbookView xWindow="-120" yWindow="-120" windowWidth="20730" windowHeight="11160" activeTab="1" xr2:uid="{7D6F8A5F-12E0-4845-8894-A821174982AB}"/>
  </bookViews>
  <sheets>
    <sheet name="Vlookup 1" sheetId="1" r:id="rId1"/>
    <sheet name="Vlookup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F4" i="2"/>
  <c r="C4" i="2"/>
  <c r="I3" i="2"/>
  <c r="F3" i="2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J8" i="1"/>
  <c r="G8" i="1"/>
  <c r="J7" i="1"/>
  <c r="G7" i="1"/>
  <c r="J6" i="1"/>
  <c r="G6" i="1"/>
  <c r="J5" i="1"/>
  <c r="G5" i="1"/>
</calcChain>
</file>

<file path=xl/sharedStrings.xml><?xml version="1.0" encoding="utf-8"?>
<sst xmlns="http://schemas.openxmlformats.org/spreadsheetml/2006/main" count="85" uniqueCount="66">
  <si>
    <t>Coca-Cola Inventory Tracker</t>
  </si>
  <si>
    <t>Product</t>
  </si>
  <si>
    <t>Arrival Date</t>
  </si>
  <si>
    <t>Warehouse</t>
  </si>
  <si>
    <t>Quantity</t>
  </si>
  <si>
    <t>Cost</t>
  </si>
  <si>
    <t>Inventory Value</t>
  </si>
  <si>
    <t>Quantities</t>
  </si>
  <si>
    <t>Coca-Cola</t>
  </si>
  <si>
    <t>Minneapolis</t>
  </si>
  <si>
    <t>Minute Maid</t>
  </si>
  <si>
    <t>Diet Coke</t>
  </si>
  <si>
    <t>Cheyenne</t>
  </si>
  <si>
    <t>Innocent</t>
  </si>
  <si>
    <t>Sprite</t>
  </si>
  <si>
    <t>Richmond</t>
  </si>
  <si>
    <t>Fanta</t>
  </si>
  <si>
    <t>Powerade</t>
  </si>
  <si>
    <t>Dasani Water</t>
  </si>
  <si>
    <t>Omaha</t>
  </si>
  <si>
    <t>Appletiser</t>
  </si>
  <si>
    <t>Aquarius</t>
  </si>
  <si>
    <t>Detroit</t>
  </si>
  <si>
    <t>Ciel</t>
  </si>
  <si>
    <t>Bodyarmor</t>
  </si>
  <si>
    <t>Anchorage</t>
  </si>
  <si>
    <t>Ades</t>
  </si>
  <si>
    <t>Peace Tea</t>
  </si>
  <si>
    <t>Simply</t>
  </si>
  <si>
    <t>Smartwater</t>
  </si>
  <si>
    <t>Vitaminwater</t>
  </si>
  <si>
    <t>Lemon-dou</t>
  </si>
  <si>
    <t>Salt Lake City</t>
  </si>
  <si>
    <t>Fresca</t>
  </si>
  <si>
    <t>Albany</t>
  </si>
  <si>
    <t>Fuzetea</t>
  </si>
  <si>
    <t>Fairlife</t>
  </si>
  <si>
    <t>Dogadan</t>
  </si>
  <si>
    <t xml:space="preserve"> </t>
  </si>
  <si>
    <t>Salesperson</t>
  </si>
  <si>
    <t>ID Number</t>
  </si>
  <si>
    <t>Date</t>
  </si>
  <si>
    <t>Sale Amount</t>
  </si>
  <si>
    <t>Commission</t>
  </si>
  <si>
    <t>Kennedi Singh</t>
  </si>
  <si>
    <t>Harley Fritz</t>
  </si>
  <si>
    <t>Nyla Novak</t>
  </si>
  <si>
    <t>David Rasmussen</t>
  </si>
  <si>
    <t>Ivan Hines</t>
  </si>
  <si>
    <t>Jonah Higgins</t>
  </si>
  <si>
    <t>Jordan Boone</t>
  </si>
  <si>
    <t>Kylee Townsend</t>
  </si>
  <si>
    <t>Nora Rollins</t>
  </si>
  <si>
    <t>Steven Michael</t>
  </si>
  <si>
    <t>Lucia Mckay</t>
  </si>
  <si>
    <t>Josue Roach</t>
  </si>
  <si>
    <t>Franklin Wright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</si>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</sst>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$&quot;#,##0_);[Red]\(&quot;$&quot;#,##0\)"/>
    <numFmt numFmtId="166" formatCode="[$$-409]#,##0"/>
  </numFmts>
  <fonts count="6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  <fill>
      <patternFill patternType="solid">
        <fgColor rgb="FF293D6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5" fillId="3" borderId="0" xfId="0" applyFont="1" applyFill="1" applyAlignment="1">
      <alignment horizontal="center"/>
    </xf>
    <xf numFmtId="1" fontId="0" fillId="0" borderId="0" xfId="0" applyNumberFormat="1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067A-2DD7-4CEA-9225-3F83C9F170B7}">
  <dimension ref="B1:J30"/>
  <sheetViews>
    <sheetView showGridLines="0" workbookViewId="0">
      <selection activeCell="J8" sqref="J8"/>
    </sheetView>
  </sheetViews>
  <sheetFormatPr defaultColWidth="11.25" defaultRowHeight="15" customHeight="1" x14ac:dyDescent="0.25"/>
  <cols>
    <col min="1" max="1" width="10.625" customWidth="1"/>
    <col min="2" max="3" width="12.375" customWidth="1"/>
    <col min="4" max="4" width="12.75" customWidth="1"/>
    <col min="5" max="6" width="10.625" customWidth="1"/>
    <col min="7" max="7" width="14.125" customWidth="1"/>
    <col min="8" max="8" width="10.625" customWidth="1"/>
    <col min="9" max="9" width="13.75" customWidth="1"/>
    <col min="10" max="10" width="15.375" customWidth="1"/>
    <col min="11" max="26" width="10.625" customWidth="1"/>
  </cols>
  <sheetData>
    <row r="1" spans="2:10" ht="15.75" x14ac:dyDescent="0.25"/>
    <row r="2" spans="2:10" ht="15" customHeight="1" x14ac:dyDescent="0.3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ht="15.75" x14ac:dyDescent="0.25"/>
    <row r="4" spans="2:10" ht="15.75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I4" s="9" t="s">
        <v>7</v>
      </c>
      <c r="J4" s="10"/>
    </row>
    <row r="5" spans="2:10" ht="15.75" x14ac:dyDescent="0.25">
      <c r="B5" s="3" t="s">
        <v>8</v>
      </c>
      <c r="C5" s="4">
        <v>44732</v>
      </c>
      <c r="D5" s="3" t="s">
        <v>9</v>
      </c>
      <c r="E5" s="5">
        <v>12000</v>
      </c>
      <c r="F5" s="6">
        <v>0.5</v>
      </c>
      <c r="G5" s="7">
        <f t="shared" ref="G5:G25" si="0">E5*F5</f>
        <v>6000</v>
      </c>
      <c r="I5" s="8" t="s">
        <v>10</v>
      </c>
      <c r="J5" s="5">
        <f>VLOOKUP(I5,$B$5:$G$25,4,FALSE)</f>
        <v>10550</v>
      </c>
    </row>
    <row r="6" spans="2:10" ht="15.75" x14ac:dyDescent="0.25">
      <c r="B6" s="3" t="s">
        <v>11</v>
      </c>
      <c r="C6" s="4">
        <v>43995</v>
      </c>
      <c r="D6" s="3" t="s">
        <v>12</v>
      </c>
      <c r="E6" s="5">
        <v>10000</v>
      </c>
      <c r="F6" s="6">
        <v>0.5</v>
      </c>
      <c r="G6" s="7">
        <f t="shared" si="0"/>
        <v>5000</v>
      </c>
      <c r="I6" s="8" t="s">
        <v>13</v>
      </c>
      <c r="J6" s="5">
        <f t="shared" ref="J6:J7" si="1">VLOOKUP(I6,$B$5:$G$25,4,FALSE)</f>
        <v>8000</v>
      </c>
    </row>
    <row r="7" spans="2:10" ht="15.75" x14ac:dyDescent="0.25">
      <c r="B7" s="3" t="s">
        <v>14</v>
      </c>
      <c r="C7" s="4">
        <v>44718</v>
      </c>
      <c r="D7" s="3" t="s">
        <v>15</v>
      </c>
      <c r="E7" s="5">
        <v>10000</v>
      </c>
      <c r="F7" s="6">
        <v>0.4</v>
      </c>
      <c r="G7" s="7">
        <f t="shared" si="0"/>
        <v>4000</v>
      </c>
      <c r="I7" s="8" t="s">
        <v>16</v>
      </c>
      <c r="J7" s="5">
        <f t="shared" si="1"/>
        <v>8500</v>
      </c>
    </row>
    <row r="8" spans="2:10" ht="15.75" x14ac:dyDescent="0.25">
      <c r="B8" s="3" t="s">
        <v>16</v>
      </c>
      <c r="C8" s="4">
        <v>44346</v>
      </c>
      <c r="D8" s="3" t="s">
        <v>9</v>
      </c>
      <c r="E8" s="5">
        <v>8500</v>
      </c>
      <c r="F8" s="6">
        <v>0.45</v>
      </c>
      <c r="G8" s="7">
        <f t="shared" si="0"/>
        <v>3825</v>
      </c>
      <c r="I8" s="8" t="s">
        <v>17</v>
      </c>
      <c r="J8" s="5" t="e">
        <f>VLOOKUP(I8,$B$5:$G$25,4,FALSE)</f>
        <v>#N/A</v>
      </c>
    </row>
    <row r="9" spans="2:10" ht="15.75" x14ac:dyDescent="0.25">
      <c r="B9" s="3" t="s">
        <v>18</v>
      </c>
      <c r="C9" s="4">
        <v>44697</v>
      </c>
      <c r="D9" s="3" t="s">
        <v>19</v>
      </c>
      <c r="E9" s="5">
        <v>10000</v>
      </c>
      <c r="F9" s="6">
        <v>0.5</v>
      </c>
      <c r="G9" s="7">
        <f t="shared" si="0"/>
        <v>5000</v>
      </c>
    </row>
    <row r="10" spans="2:10" ht="15.75" x14ac:dyDescent="0.25">
      <c r="B10" s="3" t="s">
        <v>20</v>
      </c>
      <c r="C10" s="4">
        <v>44325</v>
      </c>
      <c r="D10" s="3" t="s">
        <v>15</v>
      </c>
      <c r="E10" s="5">
        <v>12500</v>
      </c>
      <c r="F10" s="6">
        <v>0.5</v>
      </c>
      <c r="G10" s="7">
        <f t="shared" si="0"/>
        <v>6250</v>
      </c>
    </row>
    <row r="11" spans="2:10" ht="15.75" x14ac:dyDescent="0.25">
      <c r="B11" s="3" t="s">
        <v>21</v>
      </c>
      <c r="C11" s="4">
        <v>44683</v>
      </c>
      <c r="D11" s="3" t="s">
        <v>22</v>
      </c>
      <c r="E11" s="5">
        <v>9000</v>
      </c>
      <c r="F11" s="6">
        <v>0.5</v>
      </c>
      <c r="G11" s="7">
        <f t="shared" si="0"/>
        <v>4500</v>
      </c>
    </row>
    <row r="12" spans="2:10" ht="15.75" x14ac:dyDescent="0.25">
      <c r="B12" s="3" t="s">
        <v>23</v>
      </c>
      <c r="C12" s="4">
        <v>43946</v>
      </c>
      <c r="D12" s="3" t="s">
        <v>19</v>
      </c>
      <c r="E12" s="5">
        <v>9500</v>
      </c>
      <c r="F12" s="6">
        <v>0.4</v>
      </c>
      <c r="G12" s="7">
        <f t="shared" si="0"/>
        <v>3800</v>
      </c>
    </row>
    <row r="13" spans="2:10" ht="15.75" x14ac:dyDescent="0.25">
      <c r="B13" s="3" t="s">
        <v>24</v>
      </c>
      <c r="C13" s="4">
        <v>44304</v>
      </c>
      <c r="D13" s="3" t="s">
        <v>25</v>
      </c>
      <c r="E13" s="5">
        <v>8250</v>
      </c>
      <c r="F13" s="6">
        <v>0.45</v>
      </c>
      <c r="G13" s="7">
        <f t="shared" si="0"/>
        <v>3712.5</v>
      </c>
    </row>
    <row r="14" spans="2:10" ht="15.75" x14ac:dyDescent="0.25">
      <c r="B14" s="3" t="s">
        <v>26</v>
      </c>
      <c r="C14" s="4">
        <v>44662</v>
      </c>
      <c r="D14" s="3" t="s">
        <v>12</v>
      </c>
      <c r="E14" s="5">
        <v>9000</v>
      </c>
      <c r="F14" s="6">
        <v>0.6</v>
      </c>
      <c r="G14" s="7">
        <f t="shared" si="0"/>
        <v>5400</v>
      </c>
    </row>
    <row r="15" spans="2:10" ht="15.75" x14ac:dyDescent="0.25">
      <c r="B15" s="3" t="s">
        <v>10</v>
      </c>
      <c r="C15" s="4">
        <v>44697</v>
      </c>
      <c r="D15" s="3" t="s">
        <v>22</v>
      </c>
      <c r="E15" s="5">
        <v>10550</v>
      </c>
      <c r="F15" s="6">
        <v>0.5</v>
      </c>
      <c r="G15" s="7">
        <f t="shared" si="0"/>
        <v>5275</v>
      </c>
    </row>
    <row r="16" spans="2:10" ht="15.75" x14ac:dyDescent="0.25">
      <c r="B16" s="3" t="s">
        <v>27</v>
      </c>
      <c r="C16" s="4">
        <v>44648</v>
      </c>
      <c r="D16" s="3" t="s">
        <v>12</v>
      </c>
      <c r="E16" s="5">
        <v>12200</v>
      </c>
      <c r="F16" s="6">
        <v>0.5</v>
      </c>
      <c r="G16" s="7">
        <f t="shared" si="0"/>
        <v>6100</v>
      </c>
    </row>
    <row r="17" spans="2:7" ht="15.75" x14ac:dyDescent="0.25">
      <c r="B17" s="3" t="s">
        <v>28</v>
      </c>
      <c r="C17" s="4">
        <v>44641</v>
      </c>
      <c r="D17" s="3" t="s">
        <v>15</v>
      </c>
      <c r="E17" s="5">
        <v>9250</v>
      </c>
      <c r="F17" s="6">
        <v>0.5</v>
      </c>
      <c r="G17" s="7">
        <f t="shared" si="0"/>
        <v>4625</v>
      </c>
    </row>
    <row r="18" spans="2:7" ht="15.75" x14ac:dyDescent="0.25">
      <c r="B18" s="3" t="s">
        <v>29</v>
      </c>
      <c r="C18" s="4">
        <v>44697</v>
      </c>
      <c r="D18" s="3" t="s">
        <v>25</v>
      </c>
      <c r="E18" s="5">
        <v>9500</v>
      </c>
      <c r="F18" s="6">
        <v>0.4</v>
      </c>
      <c r="G18" s="7">
        <f t="shared" si="0"/>
        <v>3800</v>
      </c>
    </row>
    <row r="19" spans="2:7" ht="15.75" x14ac:dyDescent="0.25">
      <c r="B19" s="3" t="s">
        <v>13</v>
      </c>
      <c r="C19" s="4">
        <v>43559</v>
      </c>
      <c r="D19" s="3" t="s">
        <v>25</v>
      </c>
      <c r="E19" s="5">
        <v>8000</v>
      </c>
      <c r="F19" s="6">
        <v>0.45</v>
      </c>
      <c r="G19" s="7">
        <f t="shared" si="0"/>
        <v>3600</v>
      </c>
    </row>
    <row r="20" spans="2:7" ht="15.75" x14ac:dyDescent="0.25">
      <c r="B20" s="3" t="s">
        <v>30</v>
      </c>
      <c r="C20" s="4">
        <v>44697</v>
      </c>
      <c r="D20" s="3" t="s">
        <v>22</v>
      </c>
      <c r="E20" s="5">
        <v>8500</v>
      </c>
      <c r="F20" s="6">
        <v>0.6</v>
      </c>
      <c r="G20" s="7">
        <f t="shared" si="0"/>
        <v>5100</v>
      </c>
    </row>
    <row r="21" spans="2:7" ht="15.75" x14ac:dyDescent="0.25">
      <c r="B21" s="3" t="s">
        <v>31</v>
      </c>
      <c r="C21" s="4">
        <v>44613</v>
      </c>
      <c r="D21" s="3" t="s">
        <v>32</v>
      </c>
      <c r="E21" s="5">
        <v>9500</v>
      </c>
      <c r="F21" s="6">
        <v>0.5</v>
      </c>
      <c r="G21" s="7">
        <f t="shared" si="0"/>
        <v>4750</v>
      </c>
    </row>
    <row r="22" spans="2:7" ht="15.75" x14ac:dyDescent="0.25">
      <c r="B22" s="3" t="s">
        <v>33</v>
      </c>
      <c r="C22" s="4">
        <v>44697</v>
      </c>
      <c r="D22" s="3" t="s">
        <v>34</v>
      </c>
      <c r="E22" s="5">
        <v>12000</v>
      </c>
      <c r="F22" s="6">
        <v>0.5</v>
      </c>
      <c r="G22" s="7">
        <f t="shared" si="0"/>
        <v>6000</v>
      </c>
    </row>
    <row r="23" spans="2:7" ht="15.75" x14ac:dyDescent="0.25">
      <c r="B23" s="3" t="s">
        <v>35</v>
      </c>
      <c r="C23" s="4">
        <v>44599</v>
      </c>
      <c r="D23" s="3" t="s">
        <v>15</v>
      </c>
      <c r="E23" s="5">
        <v>9000</v>
      </c>
      <c r="F23" s="6">
        <v>0.5</v>
      </c>
      <c r="G23" s="7">
        <f t="shared" si="0"/>
        <v>4500</v>
      </c>
    </row>
    <row r="24" spans="2:7" ht="15.75" x14ac:dyDescent="0.25">
      <c r="B24" s="3" t="s">
        <v>36</v>
      </c>
      <c r="C24" s="4">
        <v>44592</v>
      </c>
      <c r="D24" s="3" t="s">
        <v>32</v>
      </c>
      <c r="E24" s="5">
        <v>9000</v>
      </c>
      <c r="F24" s="6">
        <v>0.4</v>
      </c>
      <c r="G24" s="7">
        <f t="shared" si="0"/>
        <v>3600</v>
      </c>
    </row>
    <row r="25" spans="2:7" ht="15.75" x14ac:dyDescent="0.25">
      <c r="B25" s="3" t="s">
        <v>37</v>
      </c>
      <c r="C25" s="4">
        <v>44585</v>
      </c>
      <c r="D25" s="3" t="s">
        <v>34</v>
      </c>
      <c r="E25" s="5">
        <v>8250</v>
      </c>
      <c r="F25" s="6">
        <v>0.45</v>
      </c>
      <c r="G25" s="7">
        <f t="shared" si="0"/>
        <v>3712.5</v>
      </c>
    </row>
    <row r="26" spans="2:7" ht="15.75" x14ac:dyDescent="0.25">
      <c r="F26" s="6"/>
    </row>
    <row r="27" spans="2:7" ht="15.75" x14ac:dyDescent="0.25">
      <c r="F27" s="6"/>
    </row>
    <row r="28" spans="2:7" ht="15.75" x14ac:dyDescent="0.25">
      <c r="F28" s="6"/>
    </row>
    <row r="29" spans="2:7" ht="15.75" x14ac:dyDescent="0.25">
      <c r="F29" s="6"/>
    </row>
    <row r="30" spans="2:7" ht="15.75" x14ac:dyDescent="0.25">
      <c r="F30" s="6"/>
    </row>
  </sheetData>
  <mergeCells count="1">
    <mergeCell ref="I4:J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D3C5-075E-4AFC-B1A5-30E45A573919}">
  <dimension ref="A1:I27"/>
  <sheetViews>
    <sheetView showGridLines="0" tabSelected="1" zoomScale="99" workbookViewId="0">
      <selection activeCell="I3" sqref="I3"/>
    </sheetView>
  </sheetViews>
  <sheetFormatPr defaultColWidth="10.625" defaultRowHeight="15.75" x14ac:dyDescent="0.25"/>
  <cols>
    <col min="2" max="2" width="15.5" bestFit="1" customWidth="1"/>
    <col min="5" max="5" width="11.625" bestFit="1" customWidth="1"/>
    <col min="6" max="6" width="11.125" bestFit="1" customWidth="1"/>
  </cols>
  <sheetData>
    <row r="1" spans="1:9" x14ac:dyDescent="0.25">
      <c r="A1" t="s">
        <v>38</v>
      </c>
    </row>
    <row r="2" spans="1:9" x14ac:dyDescent="0.25">
      <c r="B2" s="11" t="s">
        <v>39</v>
      </c>
      <c r="C2" s="11" t="s">
        <v>40</v>
      </c>
      <c r="D2" s="11" t="s">
        <v>41</v>
      </c>
      <c r="E2" s="11" t="s">
        <v>42</v>
      </c>
      <c r="F2" s="11" t="s">
        <v>43</v>
      </c>
      <c r="H2" s="11" t="s">
        <v>39</v>
      </c>
      <c r="I2" s="11" t="s">
        <v>43</v>
      </c>
    </row>
    <row r="3" spans="1:9" x14ac:dyDescent="0.25">
      <c r="B3" t="s">
        <v>44</v>
      </c>
      <c r="C3" s="12">
        <v>124300</v>
      </c>
      <c r="D3" s="13">
        <v>44754</v>
      </c>
      <c r="E3" s="14">
        <v>5436.33</v>
      </c>
      <c r="F3" s="14">
        <f>E3*0.2</f>
        <v>1087.2660000000001</v>
      </c>
      <c r="H3" t="s">
        <v>45</v>
      </c>
      <c r="I3" s="14">
        <f>VLOOKUP(H3,B3:F24,5)</f>
        <v>1239.48324</v>
      </c>
    </row>
    <row r="4" spans="1:9" x14ac:dyDescent="0.25">
      <c r="B4" t="s">
        <v>45</v>
      </c>
      <c r="C4" s="12">
        <f>C3*1.2</f>
        <v>149160</v>
      </c>
      <c r="D4" s="13">
        <v>44751</v>
      </c>
      <c r="E4" s="14">
        <v>6197.4161999999997</v>
      </c>
      <c r="F4" s="14">
        <f t="shared" ref="F4:F24" si="0">E4*0.2</f>
        <v>1239.48324</v>
      </c>
    </row>
    <row r="5" spans="1:9" x14ac:dyDescent="0.25">
      <c r="B5" t="s">
        <v>46</v>
      </c>
      <c r="C5" s="12">
        <f>C4*1.02</f>
        <v>152143.20000000001</v>
      </c>
      <c r="D5" s="13">
        <v>44753</v>
      </c>
      <c r="E5" s="14">
        <v>7065.0544679999994</v>
      </c>
      <c r="F5" s="14">
        <f t="shared" si="0"/>
        <v>1413.0108935999999</v>
      </c>
    </row>
    <row r="6" spans="1:9" x14ac:dyDescent="0.25">
      <c r="B6" t="s">
        <v>47</v>
      </c>
      <c r="C6" s="12">
        <f>C5*0.8</f>
        <v>121714.56000000001</v>
      </c>
      <c r="D6" s="13">
        <v>44748</v>
      </c>
      <c r="E6" s="14">
        <v>8054.1620935199981</v>
      </c>
      <c r="F6" s="14">
        <f t="shared" si="0"/>
        <v>1610.8324187039998</v>
      </c>
    </row>
    <row r="7" spans="1:9" x14ac:dyDescent="0.25">
      <c r="B7" t="s">
        <v>48</v>
      </c>
      <c r="C7" s="12">
        <f>C6*0.9</f>
        <v>109543.10400000001</v>
      </c>
      <c r="D7" s="13">
        <v>44752</v>
      </c>
      <c r="E7" s="14">
        <v>9181.7447866127968</v>
      </c>
      <c r="F7" s="14">
        <f t="shared" si="0"/>
        <v>1836.3489573225595</v>
      </c>
    </row>
    <row r="8" spans="1:9" x14ac:dyDescent="0.25">
      <c r="B8" t="s">
        <v>49</v>
      </c>
      <c r="C8" s="12">
        <f>C7*1.1</f>
        <v>120497.41440000002</v>
      </c>
      <c r="D8" s="13">
        <v>44755</v>
      </c>
      <c r="E8" s="14">
        <v>10467.189056738587</v>
      </c>
      <c r="F8" s="14">
        <f t="shared" si="0"/>
        <v>2093.4378113477173</v>
      </c>
    </row>
    <row r="9" spans="1:9" x14ac:dyDescent="0.25">
      <c r="B9" t="s">
        <v>50</v>
      </c>
      <c r="C9" s="12">
        <f>C8*1.02</f>
        <v>122907.36268800002</v>
      </c>
      <c r="D9" s="13">
        <v>44757</v>
      </c>
      <c r="E9" s="14">
        <v>2446.3485000000001</v>
      </c>
      <c r="F9" s="14">
        <f t="shared" si="0"/>
        <v>489.26970000000006</v>
      </c>
    </row>
    <row r="10" spans="1:9" x14ac:dyDescent="0.25">
      <c r="B10" t="s">
        <v>51</v>
      </c>
      <c r="C10" s="12">
        <f>C9*0.8</f>
        <v>98325.890150400024</v>
      </c>
      <c r="D10" s="13">
        <v>44754</v>
      </c>
      <c r="E10" s="14">
        <v>2690.9833500000004</v>
      </c>
      <c r="F10" s="14">
        <f t="shared" si="0"/>
        <v>538.19667000000015</v>
      </c>
    </row>
    <row r="11" spans="1:9" x14ac:dyDescent="0.25">
      <c r="B11" t="s">
        <v>52</v>
      </c>
      <c r="C11" s="12">
        <f>C10*0.9</f>
        <v>88493.30113536003</v>
      </c>
      <c r="D11" s="13">
        <v>44756</v>
      </c>
      <c r="E11" s="14">
        <v>2960.0816850000001</v>
      </c>
      <c r="F11" s="14">
        <f t="shared" si="0"/>
        <v>592.01633700000002</v>
      </c>
    </row>
    <row r="12" spans="1:9" x14ac:dyDescent="0.25">
      <c r="B12" t="s">
        <v>53</v>
      </c>
      <c r="C12" s="12">
        <f>C11*1.1</f>
        <v>97342.631248896039</v>
      </c>
      <c r="D12" s="13">
        <v>44751</v>
      </c>
      <c r="E12" s="14">
        <v>3256.0898535000001</v>
      </c>
      <c r="F12" s="14">
        <f t="shared" si="0"/>
        <v>651.21797070000002</v>
      </c>
    </row>
    <row r="13" spans="1:9" x14ac:dyDescent="0.25">
      <c r="B13" t="s">
        <v>54</v>
      </c>
      <c r="C13" s="12">
        <f>C12*1.02</f>
        <v>99289.483873873964</v>
      </c>
      <c r="D13" s="13">
        <v>44755</v>
      </c>
      <c r="E13" s="14">
        <v>3581.6988388500008</v>
      </c>
      <c r="F13" s="14">
        <f t="shared" si="0"/>
        <v>716.33976777000021</v>
      </c>
    </row>
    <row r="14" spans="1:9" x14ac:dyDescent="0.25">
      <c r="B14" t="s">
        <v>55</v>
      </c>
      <c r="C14" s="12">
        <f>C13*0.8</f>
        <v>79431.587099099183</v>
      </c>
      <c r="D14" s="13">
        <v>44758</v>
      </c>
      <c r="E14" s="14">
        <v>3939.8687227350015</v>
      </c>
      <c r="F14" s="14">
        <f t="shared" si="0"/>
        <v>787.97374454700036</v>
      </c>
    </row>
    <row r="15" spans="1:9" x14ac:dyDescent="0.25">
      <c r="B15" t="s">
        <v>56</v>
      </c>
      <c r="C15" s="12">
        <f>C14*0.9</f>
        <v>71488.42838918927</v>
      </c>
      <c r="D15" s="13">
        <v>44760</v>
      </c>
      <c r="E15" s="14">
        <v>4333.855595008502</v>
      </c>
      <c r="F15" s="14">
        <f t="shared" si="0"/>
        <v>866.77111900170041</v>
      </c>
    </row>
    <row r="16" spans="1:9" x14ac:dyDescent="0.25">
      <c r="B16" t="s">
        <v>57</v>
      </c>
      <c r="C16" s="12">
        <f>C15*1.1</f>
        <v>78637.271228108206</v>
      </c>
      <c r="D16" s="13">
        <v>44757</v>
      </c>
      <c r="E16" s="14">
        <v>4767.2411545093528</v>
      </c>
      <c r="F16" s="14">
        <f t="shared" si="0"/>
        <v>953.4482309018706</v>
      </c>
    </row>
    <row r="17" spans="2:6" x14ac:dyDescent="0.25">
      <c r="B17" t="s">
        <v>58</v>
      </c>
      <c r="C17" s="12">
        <f>C16*1.02</f>
        <v>80210.016652670369</v>
      </c>
      <c r="D17" s="13">
        <v>44759</v>
      </c>
      <c r="E17" s="14">
        <v>5243.9652699602884</v>
      </c>
      <c r="F17" s="14">
        <f t="shared" si="0"/>
        <v>1048.7930539920578</v>
      </c>
    </row>
    <row r="18" spans="2:6" x14ac:dyDescent="0.25">
      <c r="B18" t="s">
        <v>59</v>
      </c>
      <c r="C18" s="12">
        <f>C17*0.8</f>
        <v>64168.013322136299</v>
      </c>
      <c r="D18" s="13">
        <v>44754</v>
      </c>
      <c r="E18" s="14">
        <v>5768.3617969563174</v>
      </c>
      <c r="F18" s="14">
        <f t="shared" si="0"/>
        <v>1153.6723593912636</v>
      </c>
    </row>
    <row r="19" spans="2:6" x14ac:dyDescent="0.25">
      <c r="B19" t="s">
        <v>60</v>
      </c>
      <c r="C19" s="12">
        <f>C18*0.9</f>
        <v>57751.211989922667</v>
      </c>
      <c r="D19" s="13">
        <v>44758</v>
      </c>
      <c r="E19" s="14">
        <v>5191.525617260686</v>
      </c>
      <c r="F19" s="14">
        <f t="shared" si="0"/>
        <v>1038.3051234521372</v>
      </c>
    </row>
    <row r="20" spans="2:6" x14ac:dyDescent="0.25">
      <c r="B20" t="s">
        <v>61</v>
      </c>
      <c r="C20" s="12">
        <f>C19*1.1</f>
        <v>63526.333188914941</v>
      </c>
      <c r="D20" s="13">
        <v>44761</v>
      </c>
      <c r="E20" s="14">
        <v>6748.9833024388909</v>
      </c>
      <c r="F20" s="14">
        <f t="shared" si="0"/>
        <v>1349.7966604877784</v>
      </c>
    </row>
    <row r="21" spans="2:6" x14ac:dyDescent="0.25">
      <c r="B21" t="s">
        <v>62</v>
      </c>
      <c r="C21" s="12">
        <f>C20*1.02</f>
        <v>64796.85985269324</v>
      </c>
      <c r="D21" s="13">
        <v>44763</v>
      </c>
      <c r="E21" s="14">
        <v>8773.6782931705584</v>
      </c>
      <c r="F21" s="14">
        <f t="shared" si="0"/>
        <v>1754.7356586341118</v>
      </c>
    </row>
    <row r="22" spans="2:6" x14ac:dyDescent="0.25">
      <c r="B22" t="s">
        <v>63</v>
      </c>
      <c r="C22" s="12">
        <f>C21*0.8</f>
        <v>51837.487882154594</v>
      </c>
      <c r="D22" s="13">
        <v>44760</v>
      </c>
      <c r="E22" s="14">
        <v>11405.781781121728</v>
      </c>
      <c r="F22" s="14">
        <f t="shared" si="0"/>
        <v>2281.1563562243459</v>
      </c>
    </row>
    <row r="23" spans="2:6" x14ac:dyDescent="0.25">
      <c r="B23" t="s">
        <v>64</v>
      </c>
      <c r="C23" s="12">
        <f>C22*0.9</f>
        <v>46653.739093939133</v>
      </c>
      <c r="D23" s="13">
        <v>44762</v>
      </c>
      <c r="E23" s="14">
        <v>6650</v>
      </c>
      <c r="F23" s="14">
        <f t="shared" si="0"/>
        <v>1330</v>
      </c>
    </row>
    <row r="24" spans="2:6" x14ac:dyDescent="0.25">
      <c r="B24" t="s">
        <v>65</v>
      </c>
      <c r="C24" s="12">
        <f>C23*1.1</f>
        <v>51319.113003333048</v>
      </c>
      <c r="D24" s="13">
        <v>44757</v>
      </c>
      <c r="E24" s="14">
        <v>7341</v>
      </c>
      <c r="F24" s="14">
        <f t="shared" si="0"/>
        <v>1468.2</v>
      </c>
    </row>
    <row r="25" spans="2:6" x14ac:dyDescent="0.25">
      <c r="D25" s="13"/>
    </row>
    <row r="26" spans="2:6" x14ac:dyDescent="0.25">
      <c r="D26" s="13"/>
    </row>
    <row r="27" spans="2:6" x14ac:dyDescent="0.25">
      <c r="D2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 1</vt:lpstr>
      <vt:lpstr>Vlookup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2026-03-04T03:50:20Z</dcterms:created>
  <dcterms:modified xsi:type="dcterms:W3CDTF">2026-03-05T01:32:42Z</dcterms:modified>
</cp:coreProperties>
</file>