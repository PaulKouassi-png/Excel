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6D0D4107-8111-4699-B46A-365B254F67F6}" xr6:coauthVersionLast="47" xr6:coauthVersionMax="47" xr10:uidLastSave="{00000000-0000-0000-0000-000000000000}"/>
  <bookViews>
    <workbookView xWindow="-120" yWindow="-120" windowWidth="20730" windowHeight="11160" xr2:uid="{ECF409F9-2E64-4AB0-9BBD-8A97C32272EC}"/>
  </bookViews>
  <sheets>
    <sheet name="IFERR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H15" i="1"/>
  <c r="I15" i="1"/>
  <c r="J15" i="1"/>
  <c r="C15" i="1"/>
  <c r="J7" i="1"/>
  <c r="J13" i="1" s="1"/>
  <c r="I7" i="1"/>
  <c r="I13" i="1" s="1"/>
  <c r="H7" i="1"/>
  <c r="H13" i="1" s="1"/>
  <c r="G7" i="1"/>
  <c r="G13" i="1" s="1"/>
  <c r="F7" i="1"/>
  <c r="F13" i="1" s="1"/>
  <c r="E7" i="1"/>
  <c r="E13" i="1" s="1"/>
  <c r="D7" i="1"/>
  <c r="D13" i="1" s="1"/>
  <c r="C7" i="1"/>
  <c r="C13" i="1" s="1"/>
  <c r="D3" i="1"/>
  <c r="E3" i="1" s="1"/>
  <c r="F3" i="1" s="1"/>
  <c r="G3" i="1" s="1"/>
  <c r="H3" i="1" s="1"/>
  <c r="I3" i="1" s="1"/>
  <c r="J3" i="1" s="1"/>
</calcChain>
</file>

<file path=xl/sharedStrings.xml><?xml version="1.0" encoding="utf-8"?>
<sst xmlns="http://schemas.openxmlformats.org/spreadsheetml/2006/main" count="13" uniqueCount="13">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</sst>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000000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17" fontId="2" fillId="2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164" fontId="4" fillId="0" borderId="0" xfId="1" applyNumberFormat="1" applyFont="1" applyFill="1" applyBorder="1"/>
    <xf numFmtId="0" fontId="4" fillId="0" borderId="2" xfId="0" applyFont="1" applyBorder="1" applyAlignment="1">
      <alignment horizontal="left" indent="1"/>
    </xf>
    <xf numFmtId="164" fontId="4" fillId="0" borderId="2" xfId="1" applyNumberFormat="1" applyFont="1" applyFill="1" applyBorder="1"/>
    <xf numFmtId="0" fontId="5" fillId="0" borderId="0" xfId="0" applyFont="1"/>
    <xf numFmtId="164" fontId="5" fillId="0" borderId="0" xfId="0" applyNumberFormat="1" applyFont="1"/>
    <xf numFmtId="0" fontId="4" fillId="0" borderId="2" xfId="0" applyFont="1" applyBorder="1"/>
    <xf numFmtId="164" fontId="4" fillId="0" borderId="2" xfId="0" applyNumberFormat="1" applyFont="1" applyBorder="1"/>
    <xf numFmtId="0" fontId="6" fillId="3" borderId="3" xfId="0" applyFont="1" applyFill="1" applyBorder="1" applyAlignment="1">
      <alignment horizontal="left"/>
    </xf>
    <xf numFmtId="9" fontId="6" fillId="3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D42D-5544-487A-B026-ACED72001BEE}">
  <dimension ref="B2:J15"/>
  <sheetViews>
    <sheetView showGridLines="0" tabSelected="1" topLeftCell="A2" zoomScale="160" workbookViewId="0">
      <selection activeCell="E7" sqref="E7"/>
    </sheetView>
  </sheetViews>
  <sheetFormatPr defaultColWidth="10.625" defaultRowHeight="15.75" x14ac:dyDescent="0.25"/>
  <cols>
    <col min="1" max="1" width="4" customWidth="1"/>
    <col min="2" max="2" width="20.875" bestFit="1" customWidth="1"/>
    <col min="3" max="10" width="8.875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6.5" thickBot="1" x14ac:dyDescent="0.3">
      <c r="B3" s="2" t="s">
        <v>1</v>
      </c>
      <c r="C3" s="3">
        <v>44562</v>
      </c>
      <c r="D3" s="3">
        <f>EDATE(C3,1)</f>
        <v>44593</v>
      </c>
      <c r="E3" s="3">
        <f t="shared" ref="E3:J3" si="0">EDATE(D3,1)</f>
        <v>44621</v>
      </c>
      <c r="F3" s="3">
        <f>EDATE(E3,1)</f>
        <v>44652</v>
      </c>
      <c r="G3" s="3">
        <f t="shared" si="0"/>
        <v>44682</v>
      </c>
      <c r="H3" s="3">
        <f t="shared" si="0"/>
        <v>44713</v>
      </c>
      <c r="I3" s="3">
        <f t="shared" si="0"/>
        <v>44743</v>
      </c>
      <c r="J3" s="3">
        <f t="shared" si="0"/>
        <v>44774</v>
      </c>
    </row>
    <row r="4" spans="2:10" x14ac:dyDescent="0.25">
      <c r="B4" s="4" t="s">
        <v>2</v>
      </c>
      <c r="C4" s="4"/>
      <c r="D4" s="4"/>
      <c r="E4" s="4"/>
      <c r="F4" s="4"/>
      <c r="G4" s="4"/>
    </row>
    <row r="5" spans="2:10" x14ac:dyDescent="0.25">
      <c r="B5" s="5" t="s">
        <v>3</v>
      </c>
      <c r="C5" s="6">
        <v>215660</v>
      </c>
      <c r="D5" s="6">
        <v>237226.00000000003</v>
      </c>
      <c r="E5" s="6">
        <v>260948.60000000006</v>
      </c>
      <c r="F5" s="6"/>
      <c r="G5" s="6"/>
      <c r="H5" s="6"/>
      <c r="I5" s="6"/>
      <c r="J5" s="6"/>
    </row>
    <row r="6" spans="2:10" x14ac:dyDescent="0.25">
      <c r="B6" s="7" t="s">
        <v>4</v>
      </c>
      <c r="C6" s="8">
        <v>23722.6</v>
      </c>
      <c r="D6" s="8">
        <v>26094.860000000004</v>
      </c>
      <c r="E6" s="8">
        <v>28704.346000000009</v>
      </c>
      <c r="F6" s="8"/>
      <c r="G6" s="8"/>
      <c r="H6" s="8"/>
      <c r="I6" s="8"/>
      <c r="J6" s="8"/>
    </row>
    <row r="7" spans="2:10" x14ac:dyDescent="0.25">
      <c r="B7" s="9" t="s">
        <v>5</v>
      </c>
      <c r="C7" s="10">
        <f>SUM(C5:C6)</f>
        <v>239382.6</v>
      </c>
      <c r="D7" s="10">
        <f t="shared" ref="D7:J7" si="1">SUM(D5:D6)</f>
        <v>263320.86000000004</v>
      </c>
      <c r="E7" s="10">
        <f t="shared" si="1"/>
        <v>289652.94600000005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</row>
    <row r="8" spans="2:10" x14ac:dyDescent="0.25">
      <c r="B8" s="4" t="s">
        <v>6</v>
      </c>
      <c r="C8" s="4"/>
      <c r="D8" s="4"/>
      <c r="E8" s="4"/>
      <c r="F8" s="4"/>
      <c r="G8" s="4"/>
      <c r="H8" s="4"/>
      <c r="I8" s="4"/>
      <c r="J8" s="4"/>
    </row>
    <row r="9" spans="2:10" x14ac:dyDescent="0.25">
      <c r="B9" s="5" t="s">
        <v>7</v>
      </c>
      <c r="C9" s="6">
        <v>-69011.199999999997</v>
      </c>
      <c r="D9" s="6">
        <v>-88593</v>
      </c>
      <c r="E9" s="6">
        <v>-130474.30000000003</v>
      </c>
      <c r="F9" s="6"/>
      <c r="G9" s="6"/>
      <c r="H9" s="6"/>
      <c r="I9" s="6"/>
      <c r="J9" s="6"/>
    </row>
    <row r="10" spans="2:10" x14ac:dyDescent="0.25">
      <c r="B10" s="5" t="s">
        <v>8</v>
      </c>
      <c r="C10" s="6">
        <v>-12939.6</v>
      </c>
      <c r="D10" s="6">
        <v>-14233.560000000001</v>
      </c>
      <c r="E10" s="6">
        <v>-15656.916000000003</v>
      </c>
      <c r="F10" s="6"/>
      <c r="G10" s="6"/>
      <c r="H10" s="6"/>
      <c r="I10" s="6"/>
      <c r="J10" s="6"/>
    </row>
    <row r="11" spans="2:10" x14ac:dyDescent="0.25">
      <c r="B11" s="5" t="s">
        <v>9</v>
      </c>
      <c r="C11" s="6">
        <v>-4313.2</v>
      </c>
      <c r="D11" s="6">
        <v>-4744.5200000000004</v>
      </c>
      <c r="E11" s="6">
        <v>-5218.9720000000016</v>
      </c>
      <c r="F11" s="6"/>
      <c r="G11" s="6"/>
      <c r="H11" s="6"/>
      <c r="I11" s="6"/>
      <c r="J11" s="6"/>
    </row>
    <row r="12" spans="2:10" x14ac:dyDescent="0.25">
      <c r="B12" s="11" t="s">
        <v>10</v>
      </c>
      <c r="C12" s="12">
        <v>-86264</v>
      </c>
      <c r="D12" s="12">
        <v>-107571.08</v>
      </c>
      <c r="E12" s="12">
        <v>-151350.18800000005</v>
      </c>
      <c r="F12" s="12"/>
      <c r="G12" s="12"/>
      <c r="H12" s="12"/>
      <c r="I12" s="12"/>
      <c r="J12" s="12"/>
    </row>
    <row r="13" spans="2:10" x14ac:dyDescent="0.25">
      <c r="B13" s="9" t="s">
        <v>11</v>
      </c>
      <c r="C13" s="10">
        <f>C7+C12</f>
        <v>153118.6</v>
      </c>
      <c r="D13" s="10">
        <f>D7+D12</f>
        <v>155749.78000000003</v>
      </c>
      <c r="E13" s="10">
        <f>E7+E12</f>
        <v>138302.758</v>
      </c>
      <c r="F13" s="10">
        <f t="shared" ref="F13:J13" si="2">F7+F12</f>
        <v>0</v>
      </c>
      <c r="G13" s="10">
        <f t="shared" si="2"/>
        <v>0</v>
      </c>
      <c r="H13" s="10">
        <f t="shared" si="2"/>
        <v>0</v>
      </c>
      <c r="I13" s="10">
        <f t="shared" si="2"/>
        <v>0</v>
      </c>
      <c r="J13" s="10">
        <f t="shared" si="2"/>
        <v>0</v>
      </c>
    </row>
    <row r="14" spans="2:10" x14ac:dyDescent="0.25">
      <c r="B14" s="9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3" t="s">
        <v>12</v>
      </c>
      <c r="C15" s="14">
        <f>IFERROR(C13/C7,"")</f>
        <v>0.63963963963963966</v>
      </c>
      <c r="D15" s="14">
        <f t="shared" ref="D15:J15" si="3">IFERROR(D13/D7,"")</f>
        <v>0.59148287758136597</v>
      </c>
      <c r="E15" s="14">
        <f t="shared" si="3"/>
        <v>0.47747747747747737</v>
      </c>
      <c r="F15" s="14" t="str">
        <f t="shared" si="3"/>
        <v/>
      </c>
      <c r="G15" s="14" t="str">
        <f t="shared" si="3"/>
        <v/>
      </c>
      <c r="H15" s="14" t="str">
        <f t="shared" si="3"/>
        <v/>
      </c>
      <c r="I15" s="14" t="str">
        <f t="shared" si="3"/>
        <v/>
      </c>
      <c r="J15" s="14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2026-03-16T02:56:22Z</dcterms:created>
  <dcterms:modified xsi:type="dcterms:W3CDTF">2026-03-16T02:58:19Z</dcterms:modified>
</cp:coreProperties>
</file>