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training Kenji\"/>
    </mc:Choice>
  </mc:AlternateContent>
  <xr:revisionPtr revIDLastSave="0" documentId="8_{10437829-0D2C-4F14-965B-FEBEFA4339FD}" xr6:coauthVersionLast="47" xr6:coauthVersionMax="47" xr10:uidLastSave="{00000000-0000-0000-0000-000000000000}"/>
  <bookViews>
    <workbookView xWindow="-120" yWindow="-120" windowWidth="20730" windowHeight="11160" xr2:uid="{0391B851-5BAD-4CF3-BE27-9D4FA6038098}"/>
  </bookViews>
  <sheets>
    <sheet name="SUMIF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E14" i="1"/>
  <c r="G13" i="1"/>
  <c r="E13" i="1"/>
  <c r="G12" i="1"/>
  <c r="E12" i="1"/>
  <c r="G11" i="1"/>
  <c r="E11" i="1"/>
  <c r="G10" i="1"/>
  <c r="E10" i="1"/>
  <c r="G9" i="1"/>
  <c r="E9" i="1"/>
  <c r="G8" i="1"/>
  <c r="E8" i="1"/>
  <c r="J3" i="1" s="1"/>
  <c r="G7" i="1"/>
  <c r="E7" i="1"/>
  <c r="J6" i="1"/>
  <c r="G6" i="1"/>
  <c r="E6" i="1"/>
  <c r="C6" i="1"/>
  <c r="C7" i="1" s="1"/>
  <c r="C8" i="1" s="1"/>
  <c r="C9" i="1" s="1"/>
  <c r="C10" i="1" s="1"/>
  <c r="C11" i="1" s="1"/>
  <c r="C12" i="1" s="1"/>
  <c r="C13" i="1" s="1"/>
  <c r="C14" i="1" s="1"/>
  <c r="G5" i="1"/>
  <c r="E5" i="1"/>
  <c r="C5" i="1"/>
  <c r="G4" i="1"/>
  <c r="E4" i="1"/>
  <c r="C4" i="1"/>
  <c r="G3" i="1"/>
  <c r="E3" i="1"/>
</calcChain>
</file>

<file path=xl/sharedStrings.xml><?xml version="1.0" encoding="utf-8"?>
<sst xmlns="http://schemas.openxmlformats.org/spreadsheetml/2006/main" count="23" uniqueCount="19">
  <si>
    <t>Company</t>
  </si>
  <si>
    <t>ID Number</t>
  </si>
  <si>
    <t>Date</t>
  </si>
  <si>
    <t>Month</t>
  </si>
  <si>
    <t>Sales</t>
  </si>
  <si>
    <t>Commission</t>
  </si>
  <si>
    <t>Amazon Inc.</t>
  </si>
  <si>
    <t>Nike Inc.</t>
  </si>
  <si>
    <t>Amazon UK</t>
  </si>
  <si>
    <t>Name</t>
  </si>
  <si>
    <t>Amazon EU</t>
  </si>
  <si>
    <t>Amazon</t>
  </si>
  <si>
    <t>XYZ Limited</t>
  </si>
  <si>
    <t>Amazon Co.</t>
  </si>
  <si>
    <t>Zara Fashion</t>
  </si>
  <si>
    <t>H&amp;M International</t>
  </si>
  <si>
    <t>Ralph Lauren Int.</t>
  </si>
  <si>
    <t>Adidas Co.</t>
  </si>
  <si>
    <t>P&amp;G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</si>
</sst>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$-409]#,##0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93D6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1" fontId="0" fillId="0" borderId="0" xfId="0" applyNumberFormat="1" applyAlignment="1">
      <alignment horizontal="left"/>
    </xf>
    <xf numFmtId="14" fontId="0" fillId="0" borderId="0" xfId="0" applyNumberFormat="1" applyAlignment="1">
      <alignment horizontal="center"/>
    </xf>
    <xf numFmtId="1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2">
    <cellStyle name="Comma" xfId="1" builtinId="3"/>
    <cellStyle name="Normal" xfId="0" builtinId="0"/>
  </cellStyles>
  <dxfs count="8">
    <dxf>
      <numFmt numFmtId="164" formatCode="[$$-409]#,##0"/>
      <alignment horizontal="center" vertical="bottom" textRotation="0" wrapText="0" indent="0" justifyLastLine="0" shrinkToFit="0" readingOrder="0"/>
    </dxf>
    <dxf>
      <numFmt numFmtId="164" formatCode="[$$-409]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numFmt numFmtId="165" formatCode="d/m/yy"/>
      <alignment horizontal="center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293D68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C9E8F6-FBE5-46E7-90B8-4AEB598AE396}" name="Table5" displayName="Table5" ref="B2:G14" totalsRowShown="0" headerRowDxfId="7" dataDxfId="6">
  <autoFilter ref="B2:G14" xr:uid="{14A3A326-99AD-6141-AA56-24A89A7299E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4C380EB-064C-4CD3-AE77-4D065064542D}" name="Company" dataDxfId="5"/>
    <tableColumn id="2" xr3:uid="{E17EE35C-804E-4DE8-91B4-C3CFB4B772A8}" name="ID Number" dataDxfId="4"/>
    <tableColumn id="3" xr3:uid="{8DCEDD95-F038-4DED-A438-6218F231CE92}" name="Date" dataDxfId="3"/>
    <tableColumn id="4" xr3:uid="{A685F50A-5C0C-441C-8532-E65675A69852}" name="Month" dataDxfId="2" dataCellStyle="Comma">
      <calculatedColumnFormula>MONTH(D3)</calculatedColumnFormula>
    </tableColumn>
    <tableColumn id="5" xr3:uid="{6023B51B-B76F-4DD8-A0CA-857859E8D671}" name="Sales" dataDxfId="1"/>
    <tableColumn id="6" xr3:uid="{B1FF3E66-D309-48F3-936B-9E24753882A4}" name="Commission" dataDxfId="0">
      <calculatedColumnFormula>F3*0.2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D02AC-BB0B-47EE-8DD3-BE7A6A2B3469}">
  <dimension ref="B2:J15"/>
  <sheetViews>
    <sheetView showGridLines="0" tabSelected="1" zoomScale="156" workbookViewId="0">
      <selection activeCell="J6" sqref="J6"/>
    </sheetView>
  </sheetViews>
  <sheetFormatPr defaultColWidth="10.625" defaultRowHeight="15.75" x14ac:dyDescent="0.25"/>
  <cols>
    <col min="1" max="1" width="4" customWidth="1"/>
    <col min="2" max="2" width="16.5" bestFit="1" customWidth="1"/>
    <col min="3" max="3" width="11.5" customWidth="1"/>
    <col min="7" max="7" width="12.5" customWidth="1"/>
    <col min="8" max="8" width="5.375" customWidth="1"/>
    <col min="9" max="9" width="9.125" customWidth="1"/>
    <col min="10" max="10" width="8.625" customWidth="1"/>
  </cols>
  <sheetData>
    <row r="2" spans="2:10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I2" s="1" t="s">
        <v>3</v>
      </c>
      <c r="J2" s="1" t="s">
        <v>4</v>
      </c>
    </row>
    <row r="3" spans="2:10" x14ac:dyDescent="0.25">
      <c r="B3" s="2" t="s">
        <v>6</v>
      </c>
      <c r="C3" s="3">
        <v>124300</v>
      </c>
      <c r="D3" s="4">
        <v>44754</v>
      </c>
      <c r="E3" s="5">
        <f>MONTH(D3)</f>
        <v>7</v>
      </c>
      <c r="F3" s="6">
        <v>5436.33</v>
      </c>
      <c r="G3" s="6">
        <f>F3*0.2</f>
        <v>1087.2660000000001</v>
      </c>
      <c r="I3" s="7">
        <v>7</v>
      </c>
      <c r="J3" s="6">
        <f>SUMIFS(Table5[Sales],Table5[Month],I3)</f>
        <v>31022.735618258586</v>
      </c>
    </row>
    <row r="4" spans="2:10" x14ac:dyDescent="0.25">
      <c r="B4" s="2" t="s">
        <v>7</v>
      </c>
      <c r="C4" s="3">
        <f>C3*1.2</f>
        <v>149160</v>
      </c>
      <c r="D4" s="4">
        <v>44721</v>
      </c>
      <c r="E4" s="5">
        <f t="shared" ref="E4:E14" si="0">MONTH(D4)</f>
        <v>6</v>
      </c>
      <c r="F4" s="6">
        <v>6197.4161999999997</v>
      </c>
      <c r="G4" s="6">
        <f t="shared" ref="G4:G14" si="1">F4*0.2</f>
        <v>1239.48324</v>
      </c>
    </row>
    <row r="5" spans="2:10" x14ac:dyDescent="0.25">
      <c r="B5" s="2" t="s">
        <v>8</v>
      </c>
      <c r="C5" s="3">
        <f>C4*1.02</f>
        <v>152143.20000000001</v>
      </c>
      <c r="D5" s="4">
        <v>44753</v>
      </c>
      <c r="E5" s="5">
        <f t="shared" si="0"/>
        <v>7</v>
      </c>
      <c r="F5" s="6">
        <v>7065.0544679999994</v>
      </c>
      <c r="G5" s="6">
        <f t="shared" si="1"/>
        <v>1413.0108935999999</v>
      </c>
      <c r="I5" s="1" t="s">
        <v>9</v>
      </c>
      <c r="J5" s="1" t="s">
        <v>4</v>
      </c>
    </row>
    <row r="6" spans="2:10" x14ac:dyDescent="0.25">
      <c r="B6" s="2" t="s">
        <v>10</v>
      </c>
      <c r="C6" s="3">
        <f>C5*0.8</f>
        <v>121714.56000000001</v>
      </c>
      <c r="D6" s="4">
        <v>44748</v>
      </c>
      <c r="E6" s="5">
        <f t="shared" si="0"/>
        <v>7</v>
      </c>
      <c r="F6" s="6">
        <v>8054.1620935199981</v>
      </c>
      <c r="G6" s="6">
        <f t="shared" si="1"/>
        <v>1610.8324187039998</v>
      </c>
      <c r="I6" s="7" t="s">
        <v>11</v>
      </c>
      <c r="J6" s="6">
        <f>SUMIFS(Table5[Sales],Table5[Company],I6&amp;"*")</f>
        <v>33469.084118258586</v>
      </c>
    </row>
    <row r="7" spans="2:10" x14ac:dyDescent="0.25">
      <c r="B7" s="2" t="s">
        <v>12</v>
      </c>
      <c r="C7" s="3">
        <f>C6*0.9</f>
        <v>109543.10400000001</v>
      </c>
      <c r="D7" s="4">
        <v>44661</v>
      </c>
      <c r="E7" s="5">
        <f t="shared" si="0"/>
        <v>4</v>
      </c>
      <c r="F7" s="6">
        <v>9181.7447866127968</v>
      </c>
      <c r="G7" s="6">
        <f t="shared" si="1"/>
        <v>1836.3489573225595</v>
      </c>
    </row>
    <row r="8" spans="2:10" x14ac:dyDescent="0.25">
      <c r="B8" s="2" t="s">
        <v>13</v>
      </c>
      <c r="C8" s="3">
        <f>C7*1.1</f>
        <v>120497.41440000002</v>
      </c>
      <c r="D8" s="4">
        <v>44755</v>
      </c>
      <c r="E8" s="5">
        <f t="shared" si="0"/>
        <v>7</v>
      </c>
      <c r="F8" s="6">
        <v>10467.189056738587</v>
      </c>
      <c r="G8" s="6">
        <f t="shared" si="1"/>
        <v>2093.4378113477173</v>
      </c>
      <c r="J8" s="8"/>
    </row>
    <row r="9" spans="2:10" x14ac:dyDescent="0.25">
      <c r="B9" s="2" t="s">
        <v>11</v>
      </c>
      <c r="C9" s="3">
        <f>C8*1.02</f>
        <v>122907.36268800002</v>
      </c>
      <c r="D9" s="4">
        <v>44666</v>
      </c>
      <c r="E9" s="5">
        <f t="shared" si="0"/>
        <v>4</v>
      </c>
      <c r="F9" s="6">
        <v>2446.3485000000001</v>
      </c>
      <c r="G9" s="6">
        <f t="shared" si="1"/>
        <v>489.26970000000006</v>
      </c>
    </row>
    <row r="10" spans="2:10" x14ac:dyDescent="0.25">
      <c r="B10" s="2" t="s">
        <v>14</v>
      </c>
      <c r="C10" s="3">
        <f>C9*0.8</f>
        <v>98325.890150400024</v>
      </c>
      <c r="D10" s="4">
        <v>44785</v>
      </c>
      <c r="E10" s="5">
        <f t="shared" si="0"/>
        <v>8</v>
      </c>
      <c r="F10" s="6">
        <v>2690.9833500000004</v>
      </c>
      <c r="G10" s="6">
        <f t="shared" si="1"/>
        <v>538.19667000000015</v>
      </c>
    </row>
    <row r="11" spans="2:10" x14ac:dyDescent="0.25">
      <c r="B11" s="2" t="s">
        <v>15</v>
      </c>
      <c r="C11" s="3">
        <f>C10*0.9</f>
        <v>88493.30113536003</v>
      </c>
      <c r="D11" s="4">
        <v>44787</v>
      </c>
      <c r="E11" s="5">
        <f t="shared" si="0"/>
        <v>8</v>
      </c>
      <c r="F11" s="6">
        <v>2960.0816850000001</v>
      </c>
      <c r="G11" s="6">
        <f t="shared" si="1"/>
        <v>592.01633700000002</v>
      </c>
    </row>
    <row r="12" spans="2:10" x14ac:dyDescent="0.25">
      <c r="B12" s="2" t="s">
        <v>16</v>
      </c>
      <c r="C12" s="3">
        <f>C11*1.1</f>
        <v>97342.631248896039</v>
      </c>
      <c r="D12" s="4">
        <v>44813</v>
      </c>
      <c r="E12" s="5">
        <f t="shared" si="0"/>
        <v>9</v>
      </c>
      <c r="F12" s="6">
        <v>3256.0898535000001</v>
      </c>
      <c r="G12" s="6">
        <f t="shared" si="1"/>
        <v>651.21797070000002</v>
      </c>
    </row>
    <row r="13" spans="2:10" x14ac:dyDescent="0.25">
      <c r="B13" s="2" t="s">
        <v>17</v>
      </c>
      <c r="C13" s="3">
        <f>C12*1.02</f>
        <v>99289.483873873964</v>
      </c>
      <c r="D13" s="4">
        <v>44847</v>
      </c>
      <c r="E13" s="5">
        <f t="shared" si="0"/>
        <v>10</v>
      </c>
      <c r="F13" s="6">
        <v>3581.6988388500008</v>
      </c>
      <c r="G13" s="6">
        <f t="shared" si="1"/>
        <v>716.33976777000021</v>
      </c>
    </row>
    <row r="14" spans="2:10" x14ac:dyDescent="0.25">
      <c r="B14" s="2" t="s">
        <v>18</v>
      </c>
      <c r="C14" s="3">
        <f>C13*0.8</f>
        <v>79431.587099099183</v>
      </c>
      <c r="D14" s="4">
        <v>44847</v>
      </c>
      <c r="E14" s="5">
        <f t="shared" si="0"/>
        <v>10</v>
      </c>
      <c r="F14" s="6">
        <v>3939.8687227350015</v>
      </c>
      <c r="G14" s="6">
        <f t="shared" si="1"/>
        <v>787.97374454700036</v>
      </c>
    </row>
    <row r="15" spans="2:10" x14ac:dyDescent="0.25">
      <c r="B15" s="2"/>
      <c r="C15" s="6"/>
      <c r="D15" s="6"/>
      <c r="E15" s="6"/>
      <c r="F15" s="6"/>
      <c r="G15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Emmanuel Kouassi</dc:creator>
  <cp:lastModifiedBy>Paul Emmanuel Kouassi</cp:lastModifiedBy>
  <dcterms:created xsi:type="dcterms:W3CDTF">2026-03-16T03:20:00Z</dcterms:created>
  <dcterms:modified xsi:type="dcterms:W3CDTF">2026-03-16T03:20:20Z</dcterms:modified>
</cp:coreProperties>
</file>