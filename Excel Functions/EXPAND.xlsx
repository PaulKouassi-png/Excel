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D8477C95-26BE-449A-8493-E64B0988B4DE}" xr6:coauthVersionLast="47" xr6:coauthVersionMax="47" xr10:uidLastSave="{00000000-0000-0000-0000-000000000000}"/>
  <bookViews>
    <workbookView xWindow="-120" yWindow="-120" windowWidth="20730" windowHeight="11160" xr2:uid="{E4D44876-FE69-4FA3-B671-FC2EDF8FECF2}"/>
  </bookViews>
  <sheets>
    <sheet name="EXP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6" i="1"/>
  <c r="G5" i="1" a="1"/>
  <c r="G5" i="1" s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<sst xmlns="http://schemas.openxmlformats.org/spreadsheetml/2006/main" count="27" uniqueCount="17">
  <si>
    <t>Raw Data</t>
  </si>
  <si>
    <t>Summary</t>
  </si>
  <si>
    <t>Month</t>
  </si>
  <si>
    <t>EU Sales</t>
  </si>
  <si>
    <t>US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</si>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</sst>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8D53D-2BCD-49E4-A33E-5AFB560C9257}" name="Table1" displayName="Table1" ref="B4:D11" totalsRowShown="0" headerRowBorderDxfId="3">
  <autoFilter ref="B4:D11" xr:uid="{B93BF39F-D3CE-6448-9599-0F227BA0E727}"/>
  <tableColumns count="3">
    <tableColumn id="1" xr3:uid="{71332425-753B-4906-BFC0-A2CB9ACD84D1}" name="Month" dataDxfId="2"/>
    <tableColumn id="2" xr3:uid="{89F5FF9D-931E-464D-9C6C-51EAA9043DE1}" name="EU Sales" dataDxfId="1"/>
    <tableColumn id="3" xr3:uid="{44B0DE7D-1BC0-49E9-A48C-8EAC42480307}" name="US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3527-0533-466B-ADD7-3F2ACDC51220}">
  <dimension ref="B2:H19"/>
  <sheetViews>
    <sheetView showGridLines="0" tabSelected="1" topLeftCell="A3" zoomScale="160" zoomScaleNormal="160" workbookViewId="0">
      <selection activeCell="G6" sqref="G6"/>
    </sheetView>
  </sheetViews>
  <sheetFormatPr defaultColWidth="11" defaultRowHeight="15.75"/>
  <cols>
    <col min="1" max="1" width="7" customWidth="1"/>
    <col min="2" max="2" width="7.625" customWidth="1"/>
  </cols>
  <sheetData>
    <row r="2" spans="2:8">
      <c r="B2" s="1" t="s">
        <v>0</v>
      </c>
      <c r="F2" s="1" t="s">
        <v>1</v>
      </c>
    </row>
    <row r="3" spans="2:8" ht="6.95" customHeight="1">
      <c r="B3" s="1"/>
      <c r="F3" s="1"/>
    </row>
    <row r="4" spans="2:8">
      <c r="B4" s="2" t="s">
        <v>2</v>
      </c>
      <c r="C4" s="3" t="s">
        <v>3</v>
      </c>
      <c r="D4" s="3" t="s">
        <v>4</v>
      </c>
      <c r="F4" s="4" t="s">
        <v>2</v>
      </c>
      <c r="G4" s="5" t="s">
        <v>3</v>
      </c>
      <c r="H4" s="5" t="s">
        <v>4</v>
      </c>
    </row>
    <row r="5" spans="2:8">
      <c r="B5" s="6" t="s">
        <v>5</v>
      </c>
      <c r="C5" s="7">
        <v>92799</v>
      </c>
      <c r="D5" s="7">
        <f t="shared" ref="D5" si="0">C5*1.12</f>
        <v>103934.88</v>
      </c>
      <c r="F5" s="6" t="s">
        <v>5</v>
      </c>
      <c r="G5" s="8" cm="1">
        <f t="array" ref="G5:H16">_xlfn.EXPAND(Table1[[EU Sales]:[US Sales]],12,,"N/A")</f>
        <v>92799</v>
      </c>
      <c r="H5" s="8">
        <v>103934.88</v>
      </c>
    </row>
    <row r="6" spans="2:8">
      <c r="B6" s="6" t="s">
        <v>6</v>
      </c>
      <c r="C6" s="7">
        <v>666566</v>
      </c>
      <c r="D6" s="7">
        <f t="shared" ref="D6" si="1">C6*0.95</f>
        <v>633237.69999999995</v>
      </c>
      <c r="F6" s="6" t="s">
        <v>6</v>
      </c>
      <c r="G6" s="8">
        <v>666566</v>
      </c>
      <c r="H6" s="8">
        <v>633237.69999999995</v>
      </c>
    </row>
    <row r="7" spans="2:8">
      <c r="B7" s="6" t="s">
        <v>7</v>
      </c>
      <c r="C7" s="7">
        <v>99127</v>
      </c>
      <c r="D7" s="7">
        <v>845222</v>
      </c>
      <c r="F7" s="6" t="s">
        <v>7</v>
      </c>
      <c r="G7" s="8">
        <v>99127</v>
      </c>
      <c r="H7" s="8">
        <v>845222</v>
      </c>
    </row>
    <row r="8" spans="2:8">
      <c r="B8" s="6" t="s">
        <v>8</v>
      </c>
      <c r="C8" s="7">
        <v>65468</v>
      </c>
      <c r="D8" s="7">
        <f t="shared" ref="D8" si="2">C8*1.1</f>
        <v>72014.8</v>
      </c>
      <c r="F8" s="6" t="s">
        <v>8</v>
      </c>
      <c r="G8" s="8">
        <v>65468</v>
      </c>
      <c r="H8" s="8">
        <v>72014.8</v>
      </c>
    </row>
    <row r="9" spans="2:8">
      <c r="B9" s="6" t="s">
        <v>9</v>
      </c>
      <c r="C9" s="7">
        <v>18856</v>
      </c>
      <c r="D9" s="7">
        <f t="shared" ref="D9" si="3">C9*1.4</f>
        <v>26398.399999999998</v>
      </c>
      <c r="F9" s="6" t="s">
        <v>9</v>
      </c>
      <c r="G9" s="8">
        <v>18856</v>
      </c>
      <c r="H9" s="8">
        <v>26398.399999999998</v>
      </c>
    </row>
    <row r="10" spans="2:8">
      <c r="B10" s="6" t="s">
        <v>10</v>
      </c>
      <c r="C10" s="7">
        <v>7648</v>
      </c>
      <c r="D10" s="7">
        <f t="shared" ref="D10" si="4">C10*1.01</f>
        <v>7724.4800000000005</v>
      </c>
      <c r="F10" s="6" t="s">
        <v>10</v>
      </c>
      <c r="G10" s="8">
        <v>7648</v>
      </c>
      <c r="H10" s="8">
        <v>7724.4800000000005</v>
      </c>
    </row>
    <row r="11" spans="2:8">
      <c r="B11" s="6" t="s">
        <v>11</v>
      </c>
      <c r="C11" s="7">
        <v>9865</v>
      </c>
      <c r="D11" s="7">
        <v>7258</v>
      </c>
      <c r="F11" s="6" t="s">
        <v>11</v>
      </c>
      <c r="G11" s="8">
        <v>9865</v>
      </c>
      <c r="H11" s="8">
        <v>7258</v>
      </c>
    </row>
    <row r="12" spans="2:8">
      <c r="B12" s="6"/>
      <c r="F12" s="6" t="s">
        <v>12</v>
      </c>
      <c r="G12" s="8" t="str">
        <v>N/A</v>
      </c>
      <c r="H12" s="8" t="str">
        <v>N/A</v>
      </c>
    </row>
    <row r="13" spans="2:8">
      <c r="B13" s="6"/>
      <c r="F13" s="6" t="s">
        <v>13</v>
      </c>
      <c r="G13" s="8" t="str">
        <v>N/A</v>
      </c>
      <c r="H13" s="8" t="str">
        <v>N/A</v>
      </c>
    </row>
    <row r="14" spans="2:8">
      <c r="B14" s="6"/>
      <c r="F14" s="6" t="s">
        <v>14</v>
      </c>
      <c r="G14" s="9" t="str">
        <v>N/A</v>
      </c>
      <c r="H14" s="9" t="str">
        <v>N/A</v>
      </c>
    </row>
    <row r="15" spans="2:8">
      <c r="F15" s="6" t="s">
        <v>15</v>
      </c>
      <c r="G15" s="9" t="str">
        <v>N/A</v>
      </c>
      <c r="H15" s="9" t="str">
        <v>N/A</v>
      </c>
    </row>
    <row r="16" spans="2:8">
      <c r="F16" s="6" t="s">
        <v>16</v>
      </c>
      <c r="G16" s="9" t="str">
        <v>N/A</v>
      </c>
      <c r="H16" s="9" t="str">
        <v>N/A</v>
      </c>
    </row>
    <row r="17" spans="8:8">
      <c r="H17" s="7"/>
    </row>
    <row r="18" spans="8:8">
      <c r="H18" s="7"/>
    </row>
    <row r="19" spans="8:8">
      <c r="H19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2026-03-16T04:25:36Z</dcterms:created>
  <dcterms:modified xsi:type="dcterms:W3CDTF">2026-03-16T04:25:52Z</dcterms:modified>
</cp:coreProperties>
</file>