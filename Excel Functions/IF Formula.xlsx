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3CE2C817-3780-4EC5-9D23-AF8105653130}" xr6:coauthVersionLast="47" xr6:coauthVersionMax="47" xr10:uidLastSave="{00000000-0000-0000-0000-000000000000}"/>
  <bookViews>
    <workbookView xWindow="-120" yWindow="-120" windowWidth="20730" windowHeight="11160" xr2:uid="{08177747-EBE4-4B05-9EA4-EF6EB4451F83}"/>
  </bookViews>
  <sheets>
    <sheet name="IF Formul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E31" i="2"/>
  <c r="E33" i="2" s="1"/>
  <c r="E30" i="2"/>
  <c r="D30" i="2"/>
  <c r="C30" i="2"/>
  <c r="C31" i="2" s="1"/>
  <c r="E25" i="2"/>
  <c r="C25" i="2"/>
  <c r="E21" i="2"/>
  <c r="D21" i="2"/>
  <c r="D25" i="2" s="1"/>
  <c r="C21" i="2"/>
  <c r="E14" i="2"/>
  <c r="E10" i="2"/>
  <c r="D10" i="2"/>
  <c r="D14" i="2" s="1"/>
  <c r="C10" i="2"/>
  <c r="C14" i="2" s="1"/>
  <c r="D3" i="2"/>
  <c r="E3" i="2" s="1"/>
  <c r="D31" i="2" l="1"/>
  <c r="D33" i="2" s="1"/>
</calcChain>
</file>

<file path=xl/sharedStrings.xml><?xml version="1.0" encoding="utf-8"?>
<sst xmlns="http://schemas.openxmlformats.org/spreadsheetml/2006/main" count="27" uniqueCount="27">
  <si>
    <t>Balance Sheet</t>
  </si>
  <si>
    <t>Figures in millions</t>
  </si>
  <si>
    <t>Assets</t>
  </si>
  <si>
    <t>Current assets:</t>
  </si>
  <si>
    <t>Cash</t>
  </si>
  <si>
    <t>Accounts receivable</t>
  </si>
  <si>
    <t>Inventory</t>
  </si>
  <si>
    <t>Other current assets</t>
  </si>
  <si>
    <t>Total current assets</t>
  </si>
  <si>
    <t>Property and Equipment</t>
  </si>
  <si>
    <t>Investments</t>
  </si>
  <si>
    <t>Total Assets</t>
  </si>
  <si>
    <t>Liabilities</t>
  </si>
  <si>
    <t>Current liabilities:</t>
  </si>
  <si>
    <t>Current portion of long-term obligations</t>
  </si>
  <si>
    <t>Accounts payable</t>
  </si>
  <si>
    <t>Accrued expenses</t>
  </si>
  <si>
    <t>Total Current Liabilities</t>
  </si>
  <si>
    <t>Long-term obligations</t>
  </si>
  <si>
    <t>Other long-term liabilities</t>
  </si>
  <si>
    <t>Total Liabilities</t>
  </si>
  <si>
    <t>Shareholders' Equity</t>
  </si>
  <si>
    <t>Share Capital</t>
  </si>
  <si>
    <t>Retained Earnings</t>
  </si>
  <si>
    <t>Total Shareholders' Equity</t>
  </si>
  <si>
    <t>Total Liabilities &amp; Shareholders' Equity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</si>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</sst>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i/>
      <sz val="12"/>
      <color theme="0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1" fillId="0" borderId="0" xfId="1"/>
    <xf numFmtId="0" fontId="3" fillId="2" borderId="0" xfId="1" applyFont="1" applyFill="1" applyAlignment="1">
      <alignment horizontal="center"/>
    </xf>
    <xf numFmtId="0" fontId="4" fillId="0" borderId="0" xfId="1" applyFont="1"/>
    <xf numFmtId="0" fontId="5" fillId="2" borderId="0" xfId="1" applyFont="1" applyFill="1"/>
    <xf numFmtId="17" fontId="3" fillId="2" borderId="0" xfId="1" applyNumberFormat="1" applyFont="1" applyFill="1"/>
    <xf numFmtId="0" fontId="6" fillId="0" borderId="0" xfId="1" applyFont="1"/>
    <xf numFmtId="164" fontId="3" fillId="0" borderId="0" xfId="1" applyNumberFormat="1" applyFont="1"/>
    <xf numFmtId="0" fontId="2" fillId="0" borderId="0" xfId="1" applyFont="1" applyAlignment="1">
      <alignment horizontal="left"/>
    </xf>
    <xf numFmtId="165" fontId="2" fillId="0" borderId="0" xfId="1" applyNumberFormat="1" applyFont="1"/>
    <xf numFmtId="0" fontId="6" fillId="0" borderId="1" xfId="1" applyFont="1" applyBorder="1" applyAlignment="1">
      <alignment horizontal="left"/>
    </xf>
    <xf numFmtId="165" fontId="6" fillId="0" borderId="1" xfId="1" applyNumberFormat="1" applyFont="1" applyBorder="1"/>
    <xf numFmtId="0" fontId="6" fillId="0" borderId="0" xfId="1" applyFont="1" applyAlignment="1">
      <alignment horizontal="left"/>
    </xf>
    <xf numFmtId="165" fontId="6" fillId="0" borderId="0" xfId="1" applyNumberFormat="1" applyFont="1"/>
    <xf numFmtId="0" fontId="6" fillId="3" borderId="2" xfId="1" applyFont="1" applyFill="1" applyBorder="1" applyAlignment="1">
      <alignment horizontal="left"/>
    </xf>
    <xf numFmtId="165" fontId="6" fillId="3" borderId="2" xfId="1" applyNumberFormat="1" applyFont="1" applyFill="1" applyBorder="1"/>
    <xf numFmtId="0" fontId="2" fillId="4" borderId="0" xfId="1" applyFont="1" applyFill="1"/>
    <xf numFmtId="0" fontId="2" fillId="4" borderId="0" xfId="1" applyFont="1" applyFill="1" applyAlignment="1">
      <alignment horizontal="center"/>
    </xf>
  </cellXfs>
  <cellStyles count="2">
    <cellStyle name="Normal" xfId="0" builtinId="0"/>
    <cellStyle name="Normal 2" xfId="1" xr:uid="{9BE4C5EA-9C74-45D2-A758-76E088566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6286-7E39-4DD0-8990-60494A677160}">
  <dimension ref="A1:Z1000"/>
  <sheetViews>
    <sheetView showGridLines="0" tabSelected="1" workbookViewId="0">
      <selection activeCell="C34" sqref="C34"/>
    </sheetView>
  </sheetViews>
  <sheetFormatPr defaultColWidth="12.85546875" defaultRowHeight="15" customHeight="1" x14ac:dyDescent="0.25"/>
  <cols>
    <col min="1" max="1" width="12.28515625" style="2" customWidth="1"/>
    <col min="2" max="2" width="44" style="2" customWidth="1"/>
    <col min="3" max="26" width="12.28515625" style="2" customWidth="1"/>
    <col min="27" max="16384" width="12.85546875" style="2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3" t="s">
        <v>0</v>
      </c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5" t="s">
        <v>1</v>
      </c>
      <c r="C3" s="6">
        <v>44196</v>
      </c>
      <c r="D3" s="6">
        <f t="shared" ref="D3:E3" si="0">EDATE(C3,12)</f>
        <v>44561</v>
      </c>
      <c r="E3" s="6">
        <f t="shared" si="0"/>
        <v>44926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7" t="s">
        <v>2</v>
      </c>
      <c r="C4" s="8"/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 t="s">
        <v>3</v>
      </c>
      <c r="C5" s="8"/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9" t="s">
        <v>4</v>
      </c>
      <c r="C6" s="10">
        <v>5230</v>
      </c>
      <c r="D6" s="10">
        <v>6250</v>
      </c>
      <c r="E6" s="10">
        <v>5890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9" t="s">
        <v>5</v>
      </c>
      <c r="C7" s="10">
        <v>265</v>
      </c>
      <c r="D7" s="10">
        <v>458</v>
      </c>
      <c r="E7" s="10">
        <v>365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9" t="s">
        <v>6</v>
      </c>
      <c r="C8" s="10">
        <v>678</v>
      </c>
      <c r="D8" s="10">
        <v>589</v>
      </c>
      <c r="E8" s="10">
        <v>669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9" t="s">
        <v>7</v>
      </c>
      <c r="C9" s="10">
        <v>102</v>
      </c>
      <c r="D9" s="10">
        <v>98</v>
      </c>
      <c r="E9" s="10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1" t="s">
        <v>8</v>
      </c>
      <c r="C10" s="12">
        <f t="shared" ref="C10:E10" si="1">SUM(C6:C9)</f>
        <v>6275</v>
      </c>
      <c r="D10" s="12">
        <f t="shared" si="1"/>
        <v>7395</v>
      </c>
      <c r="E10" s="12">
        <f t="shared" si="1"/>
        <v>7030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3"/>
      <c r="C11" s="14"/>
      <c r="D11" s="14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 t="s">
        <v>9</v>
      </c>
      <c r="C12" s="10">
        <v>10156</v>
      </c>
      <c r="D12" s="10">
        <v>11489</v>
      </c>
      <c r="E12" s="10">
        <v>10786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9" t="s">
        <v>10</v>
      </c>
      <c r="C13" s="10">
        <v>4023</v>
      </c>
      <c r="D13" s="10">
        <v>4011</v>
      </c>
      <c r="E13" s="10">
        <v>4108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5" t="s">
        <v>11</v>
      </c>
      <c r="C14" s="16">
        <f t="shared" ref="C14:E14" si="2">SUM(C12:C13,C10)</f>
        <v>20454</v>
      </c>
      <c r="D14" s="16">
        <f t="shared" si="2"/>
        <v>22895</v>
      </c>
      <c r="E14" s="16">
        <f t="shared" si="2"/>
        <v>21924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3"/>
      <c r="C15" s="14"/>
      <c r="D15" s="14"/>
      <c r="E15" s="1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7" t="s">
        <v>12</v>
      </c>
      <c r="C16" s="10"/>
      <c r="D16" s="10"/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 t="s">
        <v>13</v>
      </c>
      <c r="C17" s="10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9" t="s">
        <v>14</v>
      </c>
      <c r="C18" s="10">
        <v>1000</v>
      </c>
      <c r="D18" s="10">
        <v>1000</v>
      </c>
      <c r="E18" s="10">
        <v>1000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9" t="s">
        <v>15</v>
      </c>
      <c r="C19" s="10">
        <v>355</v>
      </c>
      <c r="D19" s="10">
        <v>289</v>
      </c>
      <c r="E19" s="10">
        <v>346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9" t="s">
        <v>16</v>
      </c>
      <c r="C20" s="10">
        <v>1102</v>
      </c>
      <c r="D20" s="10">
        <v>1279</v>
      </c>
      <c r="E20" s="10">
        <v>1330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1" t="s">
        <v>17</v>
      </c>
      <c r="C21" s="12">
        <f t="shared" ref="C21:E21" si="3">SUM(C18:C20)</f>
        <v>2457</v>
      </c>
      <c r="D21" s="12">
        <f t="shared" si="3"/>
        <v>2568</v>
      </c>
      <c r="E21" s="12">
        <f t="shared" si="3"/>
        <v>2676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3"/>
      <c r="C22" s="14"/>
      <c r="D22" s="14"/>
      <c r="E22" s="1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9" t="s">
        <v>18</v>
      </c>
      <c r="C23" s="10">
        <v>10000</v>
      </c>
      <c r="D23" s="10">
        <v>9000</v>
      </c>
      <c r="E23" s="10">
        <v>8000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9" t="s">
        <v>19</v>
      </c>
      <c r="C24" s="10">
        <v>254</v>
      </c>
      <c r="D24" s="10">
        <v>265</v>
      </c>
      <c r="E24" s="10">
        <v>268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1" t="s">
        <v>20</v>
      </c>
      <c r="C25" s="12">
        <f t="shared" ref="C25:E25" si="4">SUM(C23:C24,C21)</f>
        <v>12711</v>
      </c>
      <c r="D25" s="12">
        <f t="shared" si="4"/>
        <v>11833</v>
      </c>
      <c r="E25" s="12">
        <f t="shared" si="4"/>
        <v>10944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3"/>
      <c r="C26" s="14"/>
      <c r="D26" s="14"/>
      <c r="E26" s="1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7" t="s">
        <v>21</v>
      </c>
      <c r="C27" s="14"/>
      <c r="D27" s="14"/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9" t="s">
        <v>22</v>
      </c>
      <c r="C28" s="10">
        <v>7498</v>
      </c>
      <c r="D28" s="10">
        <v>10806</v>
      </c>
      <c r="E28" s="10">
        <v>10679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9" t="s">
        <v>23</v>
      </c>
      <c r="C29" s="10">
        <v>245</v>
      </c>
      <c r="D29" s="10">
        <v>256</v>
      </c>
      <c r="E29" s="10">
        <v>301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1" t="s">
        <v>24</v>
      </c>
      <c r="C30" s="12">
        <f t="shared" ref="C30:E30" si="5">SUM(C28:C29)</f>
        <v>7743</v>
      </c>
      <c r="D30" s="12">
        <f t="shared" si="5"/>
        <v>11062</v>
      </c>
      <c r="E30" s="12">
        <f t="shared" si="5"/>
        <v>10980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5" t="s">
        <v>25</v>
      </c>
      <c r="C31" s="16">
        <f t="shared" ref="C31:E31" si="6">C30+C25</f>
        <v>20454</v>
      </c>
      <c r="D31" s="16">
        <f t="shared" si="6"/>
        <v>22895</v>
      </c>
      <c r="E31" s="16">
        <f t="shared" si="6"/>
        <v>21924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7" t="s">
        <v>26</v>
      </c>
      <c r="C33" s="18" t="str">
        <f>IF(C31=C14,"OK","False")</f>
        <v>OK</v>
      </c>
      <c r="D33" s="18" t="str">
        <f t="shared" ref="D33:E33" si="7">IF(D31=D14,"OK","False")</f>
        <v>OK</v>
      </c>
      <c r="E33" s="18" t="str">
        <f t="shared" si="7"/>
        <v>OK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2026-03-04T03:31:49Z</dcterms:created>
  <dcterms:modified xsi:type="dcterms:W3CDTF">2026-03-04T03:35:09Z</dcterms:modified>
</cp:coreProperties>
</file>