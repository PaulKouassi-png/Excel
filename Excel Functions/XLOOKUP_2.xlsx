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5CAB313C-CB7C-4BEA-BE43-DF0607B5C252}" xr6:coauthVersionLast="47" xr6:coauthVersionMax="47" xr10:uidLastSave="{00000000-0000-0000-0000-000000000000}"/>
  <bookViews>
    <workbookView xWindow="-120" yWindow="-120" windowWidth="20730" windowHeight="11160" xr2:uid="{6FAB90FD-0886-4522-A6A5-9D1C5CBAF6A8}"/>
  </bookViews>
  <sheets>
    <sheet name="X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I4" i="1"/>
  <c r="E4" i="1"/>
  <c r="B4" i="1"/>
  <c r="E3" i="1"/>
</calcChain>
</file>

<file path=xl/sharedStrings.xml><?xml version="1.0" encoding="utf-8"?>
<sst xmlns="http://schemas.openxmlformats.org/spreadsheetml/2006/main" count="31" uniqueCount="28">
  <si>
    <t>ID Number</t>
  </si>
  <si>
    <t>Date</t>
  </si>
  <si>
    <t>Sale Amount</t>
  </si>
  <si>
    <t>Commission</t>
  </si>
  <si>
    <t>Salesperson</t>
  </si>
  <si>
    <t>Xlookup</t>
  </si>
  <si>
    <t>Manuel Lee</t>
  </si>
  <si>
    <t>Harley Fritz</t>
  </si>
  <si>
    <t>Steven Michael</t>
  </si>
  <si>
    <t>Sara Falsin</t>
  </si>
  <si>
    <t>David Rasmussen</t>
  </si>
  <si>
    <t>Ivan Hines</t>
  </si>
  <si>
    <t>McDonald Smith</t>
  </si>
  <si>
    <t>Jordan Boone</t>
  </si>
  <si>
    <t>Kylee Townsend</t>
  </si>
  <si>
    <t>Nora Rollins</t>
  </si>
  <si>
    <t>Lucia Mckay</t>
  </si>
  <si>
    <t>Josue Roach</t>
  </si>
  <si>
    <t>Mike Jaggy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</si>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</sst>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0" xfId="0" applyFont="1" applyFill="1"/>
    <xf numFmtId="164" fontId="0" fillId="0" borderId="0" xfId="0" applyNumberFormat="1"/>
  </cellXfs>
  <cellStyles count="1">
    <cellStyle name="Normal" xfId="0" builtinId="0"/>
  </cellStyles>
  <dxfs count="6">
    <dxf>
      <numFmt numFmtId="164" formatCode="[$$-409]#,##0"/>
      <alignment horizontal="center" vertical="bottom" textRotation="0" wrapText="0" indent="0" justifyLastLine="0" shrinkToFit="0" readingOrder="0"/>
    </dxf>
    <dxf>
      <numFmt numFmtId="164" formatCode="[$$-409]#,##0"/>
      <alignment horizontal="center" vertical="bottom" textRotation="0" wrapText="0" indent="0" justifyLastLine="0" shrinkToFit="0" readingOrder="0"/>
    </dxf>
    <dxf>
      <numFmt numFmtId="165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959B7-461B-41DB-9751-4CCAC48A4774}" name="Table2" displayName="Table2" ref="B2:F24" totalsRowShown="0" headerRowDxfId="5" dataDxfId="4">
  <autoFilter ref="B2:F24" xr:uid="{6CB3FF65-B7C0-974E-A5DC-68A335986F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C83673C-084F-4BD1-827B-9B17E2DD398D}" name="ID Number" dataDxfId="3"/>
    <tableColumn id="2" xr3:uid="{307C8A3B-99F9-495F-AAC9-FA7DC8539AF4}" name="Date" dataDxfId="2"/>
    <tableColumn id="3" xr3:uid="{CC7BFD22-8C53-48B3-9EAE-6F416886DC3C}" name="Sale Amount" dataDxfId="1"/>
    <tableColumn id="4" xr3:uid="{A3BB84C0-CC40-41FB-9B6B-5EA999960974}" name="Commission" dataDxfId="0">
      <calculatedColumnFormula>D3*0.2</calculatedColumnFormula>
    </tableColumn>
    <tableColumn id="5" xr3:uid="{C891E156-933F-4839-BF44-DC7A0F6664A3}" name="Salespers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D0B-3162-45F1-8D25-8926B2BF0D1F}">
  <dimension ref="B2:I24"/>
  <sheetViews>
    <sheetView showGridLines="0" tabSelected="1" zoomScale="143" workbookViewId="0">
      <selection activeCell="I5" sqref="I5"/>
    </sheetView>
  </sheetViews>
  <sheetFormatPr defaultColWidth="10.625" defaultRowHeight="15.75" x14ac:dyDescent="0.25"/>
  <cols>
    <col min="1" max="1" width="3.875" customWidth="1"/>
    <col min="2" max="2" width="11.5" customWidth="1"/>
    <col min="4" max="4" width="13" customWidth="1"/>
    <col min="5" max="5" width="12.5" customWidth="1"/>
    <col min="6" max="6" width="15.5" bestFit="1" customWidth="1"/>
    <col min="7" max="7" width="7.5" customWidth="1"/>
    <col min="8" max="8" width="13.625" bestFit="1" customWidth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2" t="s">
        <v>5</v>
      </c>
      <c r="I2" s="2"/>
    </row>
    <row r="3" spans="2:9" x14ac:dyDescent="0.25">
      <c r="B3" s="3">
        <v>124300</v>
      </c>
      <c r="C3" s="4">
        <v>44754</v>
      </c>
      <c r="D3" s="5">
        <v>5436.33</v>
      </c>
      <c r="E3" s="5">
        <f>D3*0.2</f>
        <v>1087.2660000000001</v>
      </c>
      <c r="F3" t="s">
        <v>6</v>
      </c>
      <c r="H3" s="6" t="s">
        <v>4</v>
      </c>
      <c r="I3" s="6" t="s">
        <v>3</v>
      </c>
    </row>
    <row r="4" spans="2:9" x14ac:dyDescent="0.25">
      <c r="B4" s="3">
        <f>B3*1.2</f>
        <v>149160</v>
      </c>
      <c r="C4" s="4">
        <v>44751</v>
      </c>
      <c r="D4" s="5">
        <v>6197.4161999999997</v>
      </c>
      <c r="E4" s="5">
        <f t="shared" ref="E4:E24" si="0">D4*0.2</f>
        <v>1239.48324</v>
      </c>
      <c r="F4" t="s">
        <v>7</v>
      </c>
      <c r="H4" t="s">
        <v>8</v>
      </c>
      <c r="I4" s="7">
        <f>_xlfn.XLOOKUP(H4,Table2[Salesperson],Table2[Commission],"N/A")</f>
        <v>651.21797070000002</v>
      </c>
    </row>
    <row r="5" spans="2:9" x14ac:dyDescent="0.25">
      <c r="B5" s="3">
        <f>B4*1.02</f>
        <v>152143.20000000001</v>
      </c>
      <c r="C5" s="4">
        <v>44753</v>
      </c>
      <c r="D5" s="5">
        <v>7065.0544679999994</v>
      </c>
      <c r="E5" s="5">
        <f t="shared" si="0"/>
        <v>1413.0108935999999</v>
      </c>
      <c r="F5" t="s">
        <v>9</v>
      </c>
    </row>
    <row r="6" spans="2:9" x14ac:dyDescent="0.25">
      <c r="B6" s="3">
        <f>B5*0.8</f>
        <v>121714.56000000001</v>
      </c>
      <c r="C6" s="4">
        <v>44748</v>
      </c>
      <c r="D6" s="5">
        <v>8054.1620935199981</v>
      </c>
      <c r="E6" s="5">
        <f t="shared" si="0"/>
        <v>1610.8324187039998</v>
      </c>
      <c r="F6" t="s">
        <v>10</v>
      </c>
    </row>
    <row r="7" spans="2:9" x14ac:dyDescent="0.25">
      <c r="B7" s="3">
        <f>B6*0.9</f>
        <v>109543.10400000001</v>
      </c>
      <c r="C7" s="4">
        <v>44752</v>
      </c>
      <c r="D7" s="5">
        <v>9181.7447866127968</v>
      </c>
      <c r="E7" s="5">
        <f t="shared" si="0"/>
        <v>1836.3489573225595</v>
      </c>
      <c r="F7" t="s">
        <v>11</v>
      </c>
    </row>
    <row r="8" spans="2:9" x14ac:dyDescent="0.25">
      <c r="B8" s="3">
        <f>B7*1.1</f>
        <v>120497.41440000002</v>
      </c>
      <c r="C8" s="4">
        <v>44755</v>
      </c>
      <c r="D8" s="5">
        <v>10467.189056738587</v>
      </c>
      <c r="E8" s="5">
        <f t="shared" si="0"/>
        <v>2093.4378113477173</v>
      </c>
      <c r="F8" t="s">
        <v>12</v>
      </c>
    </row>
    <row r="9" spans="2:9" x14ac:dyDescent="0.25">
      <c r="B9" s="3">
        <f>B8*1.02</f>
        <v>122907.36268800002</v>
      </c>
      <c r="C9" s="4">
        <v>44757</v>
      </c>
      <c r="D9" s="5">
        <v>2446.3485000000001</v>
      </c>
      <c r="E9" s="5">
        <f t="shared" si="0"/>
        <v>489.26970000000006</v>
      </c>
      <c r="F9" t="s">
        <v>13</v>
      </c>
    </row>
    <row r="10" spans="2:9" x14ac:dyDescent="0.25">
      <c r="B10" s="3">
        <f>B9*0.8</f>
        <v>98325.890150400024</v>
      </c>
      <c r="C10" s="4">
        <v>44754</v>
      </c>
      <c r="D10" s="5">
        <v>2690.9833500000004</v>
      </c>
      <c r="E10" s="5">
        <f t="shared" si="0"/>
        <v>538.19667000000015</v>
      </c>
      <c r="F10" t="s">
        <v>14</v>
      </c>
    </row>
    <row r="11" spans="2:9" x14ac:dyDescent="0.25">
      <c r="B11" s="3">
        <f>B10*0.9</f>
        <v>88493.30113536003</v>
      </c>
      <c r="C11" s="4">
        <v>44756</v>
      </c>
      <c r="D11" s="5">
        <v>2960.0816850000001</v>
      </c>
      <c r="E11" s="5">
        <f t="shared" si="0"/>
        <v>592.01633700000002</v>
      </c>
      <c r="F11" t="s">
        <v>15</v>
      </c>
    </row>
    <row r="12" spans="2:9" x14ac:dyDescent="0.25">
      <c r="B12" s="3">
        <f>B11*1.1</f>
        <v>97342.631248896039</v>
      </c>
      <c r="C12" s="4">
        <v>44751</v>
      </c>
      <c r="D12" s="5">
        <v>3256.0898535000001</v>
      </c>
      <c r="E12" s="5">
        <f t="shared" si="0"/>
        <v>651.21797070000002</v>
      </c>
      <c r="F12" t="s">
        <v>8</v>
      </c>
    </row>
    <row r="13" spans="2:9" x14ac:dyDescent="0.25">
      <c r="B13" s="3">
        <f>B12*1.02</f>
        <v>99289.483873873964</v>
      </c>
      <c r="C13" s="4">
        <v>44755</v>
      </c>
      <c r="D13" s="5">
        <v>3581.6988388500008</v>
      </c>
      <c r="E13" s="5">
        <f t="shared" si="0"/>
        <v>716.33976777000021</v>
      </c>
      <c r="F13" t="s">
        <v>16</v>
      </c>
    </row>
    <row r="14" spans="2:9" x14ac:dyDescent="0.25">
      <c r="B14" s="3">
        <f>B13*0.8</f>
        <v>79431.587099099183</v>
      </c>
      <c r="C14" s="4">
        <v>44758</v>
      </c>
      <c r="D14" s="5">
        <v>3939.8687227350015</v>
      </c>
      <c r="E14" s="5">
        <f t="shared" si="0"/>
        <v>787.97374454700036</v>
      </c>
      <c r="F14" t="s">
        <v>17</v>
      </c>
    </row>
    <row r="15" spans="2:9" x14ac:dyDescent="0.25">
      <c r="B15" s="3">
        <f>B14*0.9</f>
        <v>71488.42838918927</v>
      </c>
      <c r="C15" s="4">
        <v>44760</v>
      </c>
      <c r="D15" s="5">
        <v>4333.855595008502</v>
      </c>
      <c r="E15" s="5">
        <f t="shared" si="0"/>
        <v>866.77111900170041</v>
      </c>
      <c r="F15" t="s">
        <v>18</v>
      </c>
    </row>
    <row r="16" spans="2:9" x14ac:dyDescent="0.25">
      <c r="B16" s="3">
        <f>B15*1.1</f>
        <v>78637.271228108206</v>
      </c>
      <c r="C16" s="4">
        <v>44757</v>
      </c>
      <c r="D16" s="5">
        <v>4767.2411545093528</v>
      </c>
      <c r="E16" s="5">
        <f t="shared" si="0"/>
        <v>953.4482309018706</v>
      </c>
      <c r="F16" t="s">
        <v>19</v>
      </c>
    </row>
    <row r="17" spans="2:6" x14ac:dyDescent="0.25">
      <c r="B17" s="3">
        <f>B16*1.02</f>
        <v>80210.016652670369</v>
      </c>
      <c r="C17" s="4">
        <v>44759</v>
      </c>
      <c r="D17" s="5">
        <v>5243.9652699602884</v>
      </c>
      <c r="E17" s="5">
        <f t="shared" si="0"/>
        <v>1048.7930539920578</v>
      </c>
      <c r="F17" t="s">
        <v>20</v>
      </c>
    </row>
    <row r="18" spans="2:6" x14ac:dyDescent="0.25">
      <c r="B18" s="3">
        <f>B17*0.8</f>
        <v>64168.013322136299</v>
      </c>
      <c r="C18" s="4">
        <v>44754</v>
      </c>
      <c r="D18" s="5">
        <v>5768.3617969563174</v>
      </c>
      <c r="E18" s="5">
        <f t="shared" si="0"/>
        <v>1153.6723593912636</v>
      </c>
      <c r="F18" t="s">
        <v>21</v>
      </c>
    </row>
    <row r="19" spans="2:6" x14ac:dyDescent="0.25">
      <c r="B19" s="3">
        <f>B18*0.9</f>
        <v>57751.211989922667</v>
      </c>
      <c r="C19" s="4">
        <v>44758</v>
      </c>
      <c r="D19" s="5">
        <v>5191.525617260686</v>
      </c>
      <c r="E19" s="5">
        <f t="shared" si="0"/>
        <v>1038.3051234521372</v>
      </c>
      <c r="F19" t="s">
        <v>22</v>
      </c>
    </row>
    <row r="20" spans="2:6" x14ac:dyDescent="0.25">
      <c r="B20" s="3">
        <f>B19*1.1</f>
        <v>63526.333188914941</v>
      </c>
      <c r="C20" s="4">
        <v>44761</v>
      </c>
      <c r="D20" s="5">
        <v>6748.9833024388909</v>
      </c>
      <c r="E20" s="5">
        <f t="shared" si="0"/>
        <v>1349.7966604877784</v>
      </c>
      <c r="F20" t="s">
        <v>23</v>
      </c>
    </row>
    <row r="21" spans="2:6" x14ac:dyDescent="0.25">
      <c r="B21" s="3">
        <f>B20*1.02</f>
        <v>64796.85985269324</v>
      </c>
      <c r="C21" s="4">
        <v>44763</v>
      </c>
      <c r="D21" s="5">
        <v>8773.6782931705584</v>
      </c>
      <c r="E21" s="5">
        <f t="shared" si="0"/>
        <v>1754.7356586341118</v>
      </c>
      <c r="F21" t="s">
        <v>24</v>
      </c>
    </row>
    <row r="22" spans="2:6" x14ac:dyDescent="0.25">
      <c r="B22" s="3">
        <f>B21*0.8</f>
        <v>51837.487882154594</v>
      </c>
      <c r="C22" s="4">
        <v>44760</v>
      </c>
      <c r="D22" s="5">
        <v>11405.781781121728</v>
      </c>
      <c r="E22" s="5">
        <f t="shared" si="0"/>
        <v>2281.1563562243459</v>
      </c>
      <c r="F22" t="s">
        <v>25</v>
      </c>
    </row>
    <row r="23" spans="2:6" x14ac:dyDescent="0.25">
      <c r="B23" s="3">
        <f>B22*0.9</f>
        <v>46653.739093939133</v>
      </c>
      <c r="C23" s="4">
        <v>44762</v>
      </c>
      <c r="D23" s="5">
        <v>6650</v>
      </c>
      <c r="E23" s="5">
        <f t="shared" si="0"/>
        <v>1330</v>
      </c>
      <c r="F23" t="s">
        <v>26</v>
      </c>
    </row>
    <row r="24" spans="2:6" x14ac:dyDescent="0.25">
      <c r="B24" s="3">
        <f>B23*1.1</f>
        <v>51319.113003333048</v>
      </c>
      <c r="C24" s="4">
        <v>44757</v>
      </c>
      <c r="D24" s="5">
        <v>7341</v>
      </c>
      <c r="E24" s="5">
        <f t="shared" si="0"/>
        <v>1468.2</v>
      </c>
      <c r="F24" t="s">
        <v>27</v>
      </c>
    </row>
  </sheetData>
  <mergeCells count="1">
    <mergeCell ref="H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2026-03-16T03:25:28Z</dcterms:created>
  <dcterms:modified xsi:type="dcterms:W3CDTF">2026-03-16T03:25:56Z</dcterms:modified>
</cp:coreProperties>
</file>