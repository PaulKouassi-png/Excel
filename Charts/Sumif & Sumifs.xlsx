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84C21F83-2544-4C3A-9C48-AB057008D780}" xr6:coauthVersionLast="47" xr6:coauthVersionMax="47" xr10:uidLastSave="{00000000-0000-0000-0000-000000000000}"/>
  <bookViews>
    <workbookView xWindow="-120" yWindow="-120" windowWidth="20730" windowHeight="11160" activeTab="1" xr2:uid="{BF4D6F9D-19ED-41AD-8F9C-49214276AE57}"/>
  </bookViews>
  <sheets>
    <sheet name="Sumif" sheetId="1" r:id="rId1"/>
    <sheet name="Sumi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2" l="1"/>
  <c r="I12" i="2"/>
  <c r="I13" i="2"/>
  <c r="I14" i="2"/>
  <c r="I15" i="2"/>
  <c r="I10" i="2"/>
  <c r="I6" i="2"/>
  <c r="I5" i="2"/>
  <c r="I4" i="2"/>
  <c r="C3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H3" i="1"/>
  <c r="E3" i="1"/>
  <c r="I16" i="2" l="1"/>
  <c r="I7" i="2"/>
</calcChain>
</file>

<file path=xl/sharedStrings.xml><?xml version="1.0" encoding="utf-8"?>
<sst xmlns="http://schemas.openxmlformats.org/spreadsheetml/2006/main" count="165" uniqueCount="46">
  <si>
    <t>Product</t>
  </si>
  <si>
    <t>Quantity Sold</t>
  </si>
  <si>
    <t>Date</t>
  </si>
  <si>
    <t>Year</t>
  </si>
  <si>
    <t>2022 iPhone Sales</t>
  </si>
  <si>
    <t>iPhone</t>
  </si>
  <si>
    <t>Month</t>
  </si>
  <si>
    <t>Category</t>
  </si>
  <si>
    <t>Description</t>
  </si>
  <si>
    <t>Amount</t>
  </si>
  <si>
    <t>Figures in USD</t>
  </si>
  <si>
    <t>Rent</t>
  </si>
  <si>
    <t>Apartment split with friend</t>
  </si>
  <si>
    <t>Income:</t>
  </si>
  <si>
    <t>Utilities</t>
  </si>
  <si>
    <t>Higher month than usual</t>
  </si>
  <si>
    <t>Base Salary</t>
  </si>
  <si>
    <t>Transport</t>
  </si>
  <si>
    <t>Metro card</t>
  </si>
  <si>
    <t>Bonus</t>
  </si>
  <si>
    <t>Groceries</t>
  </si>
  <si>
    <t>Walmart shopping</t>
  </si>
  <si>
    <t>Side Hustle</t>
  </si>
  <si>
    <t>Leisure</t>
  </si>
  <si>
    <t>Hotel in NYC</t>
  </si>
  <si>
    <t>Total Income</t>
  </si>
  <si>
    <t>Dinner with friends</t>
  </si>
  <si>
    <t>Drake concert</t>
  </si>
  <si>
    <t>Expenses:</t>
  </si>
  <si>
    <t>Other</t>
  </si>
  <si>
    <t>Bought new clothes</t>
  </si>
  <si>
    <t>Commissions from each sale</t>
  </si>
  <si>
    <t>9-5 job</t>
  </si>
  <si>
    <t>Startup idea $</t>
  </si>
  <si>
    <t>Average month</t>
  </si>
  <si>
    <t>Total Expenses</t>
  </si>
  <si>
    <t>Drinks out</t>
  </si>
  <si>
    <t>Date night</t>
  </si>
  <si>
    <t>Tennis x2</t>
  </si>
  <si>
    <t>Snacks</t>
  </si>
  <si>
    <t>Lunch out x4</t>
  </si>
  <si>
    <t>Dinner with friends x2</t>
  </si>
  <si>
    <t>Exercise</t>
  </si>
  <si>
    <t>Travel back home</t>
  </si>
  <si>
    <t>Disco &amp; drinks</t>
  </si>
  <si>
    <t>Avril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</si>
</sst>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#,##0_);\(#,##0\);\-\-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i/>
      <sz val="12"/>
      <color theme="0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vertical="center"/>
    </xf>
    <xf numFmtId="0" fontId="2" fillId="2" borderId="0" xfId="0" applyFont="1" applyFill="1"/>
    <xf numFmtId="0" fontId="5" fillId="2" borderId="0" xfId="0" applyFont="1" applyFill="1" applyAlignment="1">
      <alignment horizontal="center"/>
    </xf>
    <xf numFmtId="17" fontId="2" fillId="2" borderId="0" xfId="0" applyNumberFormat="1" applyFont="1" applyFill="1" applyAlignment="1">
      <alignment horizontal="center"/>
    </xf>
    <xf numFmtId="16" fontId="4" fillId="0" borderId="0" xfId="0" applyNumberFormat="1" applyFont="1" applyAlignment="1">
      <alignment horizontal="left"/>
    </xf>
    <xf numFmtId="0" fontId="1" fillId="0" borderId="0" xfId="0" applyFont="1"/>
    <xf numFmtId="165" fontId="4" fillId="0" borderId="0" xfId="0" applyNumberFormat="1" applyFont="1"/>
    <xf numFmtId="0" fontId="6" fillId="0" borderId="1" xfId="0" applyFont="1" applyBorder="1" applyAlignment="1">
      <alignment horizontal="left"/>
    </xf>
    <xf numFmtId="165" fontId="6" fillId="0" borderId="1" xfId="0" applyNumberFormat="1" applyFont="1" applyBorder="1"/>
    <xf numFmtId="0" fontId="4" fillId="0" borderId="0" xfId="0" applyFont="1"/>
    <xf numFmtId="165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1981-9BB7-4BE3-8BFC-A1D7BD6FE1C5}">
  <dimension ref="B1:H54"/>
  <sheetViews>
    <sheetView showGridLines="0" workbookViewId="0">
      <selection activeCell="H3" sqref="H3"/>
    </sheetView>
  </sheetViews>
  <sheetFormatPr defaultColWidth="11.25" defaultRowHeight="15" customHeight="1" x14ac:dyDescent="0.25"/>
  <cols>
    <col min="1" max="2" width="10.625" customWidth="1"/>
    <col min="3" max="3" width="13.625" customWidth="1"/>
    <col min="4" max="6" width="10.625" customWidth="1"/>
    <col min="7" max="7" width="10.375" customWidth="1"/>
    <col min="8" max="8" width="11.5" customWidth="1"/>
    <col min="9" max="26" width="10.625" customWidth="1"/>
  </cols>
  <sheetData>
    <row r="1" spans="2:8" x14ac:dyDescent="0.25"/>
    <row r="2" spans="2:8" x14ac:dyDescent="0.25">
      <c r="B2" s="1" t="s">
        <v>0</v>
      </c>
      <c r="C2" s="1" t="s">
        <v>1</v>
      </c>
      <c r="D2" s="1" t="s">
        <v>2</v>
      </c>
      <c r="E2" s="1" t="s">
        <v>3</v>
      </c>
      <c r="G2" s="2" t="s">
        <v>4</v>
      </c>
      <c r="H2" s="3"/>
    </row>
    <row r="3" spans="2:8" x14ac:dyDescent="0.25">
      <c r="B3" s="4" t="s">
        <v>5</v>
      </c>
      <c r="C3" s="5">
        <v>10589</v>
      </c>
      <c r="D3" s="6">
        <v>44725</v>
      </c>
      <c r="E3" s="4">
        <f t="shared" ref="E3:E54" si="0">YEAR(D3)</f>
        <v>2022</v>
      </c>
      <c r="G3" s="7">
        <v>2017</v>
      </c>
      <c r="H3" s="8">
        <f>SUMIF(E3:E54,G3,C3:C54)</f>
        <v>11259</v>
      </c>
    </row>
    <row r="4" spans="2:8" x14ac:dyDescent="0.25">
      <c r="B4" s="4" t="s">
        <v>5</v>
      </c>
      <c r="C4" s="5">
        <v>3689</v>
      </c>
      <c r="D4" s="6">
        <v>43988</v>
      </c>
      <c r="E4" s="4">
        <f t="shared" si="0"/>
        <v>2020</v>
      </c>
    </row>
    <row r="5" spans="2:8" x14ac:dyDescent="0.25">
      <c r="B5" s="4" t="s">
        <v>5</v>
      </c>
      <c r="C5" s="5">
        <v>12548</v>
      </c>
      <c r="D5" s="6">
        <v>44711</v>
      </c>
      <c r="E5" s="4">
        <f t="shared" si="0"/>
        <v>2022</v>
      </c>
    </row>
    <row r="6" spans="2:8" x14ac:dyDescent="0.25">
      <c r="B6" s="4" t="s">
        <v>5</v>
      </c>
      <c r="C6" s="5">
        <v>11259</v>
      </c>
      <c r="D6" s="6">
        <v>42878</v>
      </c>
      <c r="E6" s="4">
        <f t="shared" si="0"/>
        <v>2017</v>
      </c>
    </row>
    <row r="7" spans="2:8" x14ac:dyDescent="0.25">
      <c r="B7" s="4" t="s">
        <v>5</v>
      </c>
      <c r="C7" s="5">
        <v>9545</v>
      </c>
      <c r="D7" s="6">
        <v>44697</v>
      </c>
      <c r="E7" s="4">
        <f t="shared" si="0"/>
        <v>2022</v>
      </c>
    </row>
    <row r="8" spans="2:8" x14ac:dyDescent="0.25">
      <c r="B8" s="4" t="s">
        <v>5</v>
      </c>
      <c r="C8" s="5">
        <v>2153</v>
      </c>
      <c r="D8" s="6">
        <v>39211</v>
      </c>
      <c r="E8" s="4">
        <f t="shared" si="0"/>
        <v>2007</v>
      </c>
    </row>
    <row r="9" spans="2:8" x14ac:dyDescent="0.25">
      <c r="B9" s="4" t="s">
        <v>5</v>
      </c>
      <c r="C9" s="5">
        <v>2915</v>
      </c>
      <c r="D9" s="6">
        <v>44318</v>
      </c>
      <c r="E9" s="4">
        <f t="shared" si="0"/>
        <v>2021</v>
      </c>
    </row>
    <row r="10" spans="2:8" x14ac:dyDescent="0.25">
      <c r="B10" s="4" t="s">
        <v>5</v>
      </c>
      <c r="C10" s="5">
        <v>9232</v>
      </c>
      <c r="D10" s="6">
        <v>44676</v>
      </c>
      <c r="E10" s="4">
        <f t="shared" si="0"/>
        <v>2022</v>
      </c>
    </row>
    <row r="11" spans="2:8" x14ac:dyDescent="0.25">
      <c r="B11" s="4" t="s">
        <v>5</v>
      </c>
      <c r="C11" s="5">
        <v>3126</v>
      </c>
      <c r="D11" s="6">
        <v>43939</v>
      </c>
      <c r="E11" s="4">
        <f t="shared" si="0"/>
        <v>2020</v>
      </c>
    </row>
    <row r="12" spans="2:8" x14ac:dyDescent="0.25">
      <c r="B12" s="4" t="s">
        <v>5</v>
      </c>
      <c r="C12" s="5">
        <v>4471</v>
      </c>
      <c r="D12" s="6">
        <v>44297</v>
      </c>
      <c r="E12" s="4">
        <f t="shared" si="0"/>
        <v>2021</v>
      </c>
    </row>
    <row r="13" spans="2:8" x14ac:dyDescent="0.25">
      <c r="B13" s="4" t="s">
        <v>5</v>
      </c>
      <c r="C13" s="5">
        <v>5852</v>
      </c>
      <c r="D13" s="6">
        <v>44655</v>
      </c>
      <c r="E13" s="4">
        <f t="shared" si="0"/>
        <v>2022</v>
      </c>
    </row>
    <row r="14" spans="2:8" x14ac:dyDescent="0.25">
      <c r="B14" s="4" t="s">
        <v>5</v>
      </c>
      <c r="C14" s="5">
        <v>8487</v>
      </c>
      <c r="D14" s="6">
        <v>43552</v>
      </c>
      <c r="E14" s="4">
        <f t="shared" si="0"/>
        <v>2019</v>
      </c>
    </row>
    <row r="15" spans="2:8" x14ac:dyDescent="0.25">
      <c r="B15" s="4" t="s">
        <v>5</v>
      </c>
      <c r="C15" s="5">
        <v>9404</v>
      </c>
      <c r="D15" s="6">
        <v>44641</v>
      </c>
      <c r="E15" s="4">
        <f t="shared" si="0"/>
        <v>2022</v>
      </c>
    </row>
    <row r="16" spans="2:8" x14ac:dyDescent="0.25">
      <c r="B16" s="4" t="s">
        <v>5</v>
      </c>
      <c r="C16" s="5">
        <v>7421</v>
      </c>
      <c r="D16" s="6">
        <v>44634</v>
      </c>
      <c r="E16" s="4">
        <f t="shared" si="0"/>
        <v>2022</v>
      </c>
    </row>
    <row r="17" spans="2:5" x14ac:dyDescent="0.25">
      <c r="B17" s="4" t="s">
        <v>5</v>
      </c>
      <c r="C17" s="5">
        <v>8094</v>
      </c>
      <c r="D17" s="6">
        <v>43552</v>
      </c>
      <c r="E17" s="4">
        <f t="shared" si="0"/>
        <v>2019</v>
      </c>
    </row>
    <row r="18" spans="2:5" x14ac:dyDescent="0.25">
      <c r="B18" s="4" t="s">
        <v>5</v>
      </c>
      <c r="C18" s="5">
        <v>3805</v>
      </c>
      <c r="D18" s="6">
        <v>43552</v>
      </c>
      <c r="E18" s="4">
        <f t="shared" si="0"/>
        <v>2019</v>
      </c>
    </row>
    <row r="19" spans="2:5" x14ac:dyDescent="0.25">
      <c r="B19" s="4" t="s">
        <v>5</v>
      </c>
      <c r="C19" s="5">
        <v>7027</v>
      </c>
      <c r="D19" s="6">
        <v>43552</v>
      </c>
      <c r="E19" s="4">
        <f t="shared" si="0"/>
        <v>2019</v>
      </c>
    </row>
    <row r="20" spans="2:5" x14ac:dyDescent="0.25">
      <c r="B20" s="4" t="s">
        <v>5</v>
      </c>
      <c r="C20" s="5">
        <v>1187</v>
      </c>
      <c r="D20" s="6">
        <v>44606</v>
      </c>
      <c r="E20" s="4">
        <f t="shared" si="0"/>
        <v>2022</v>
      </c>
    </row>
    <row r="21" spans="2:5" x14ac:dyDescent="0.25">
      <c r="B21" s="4" t="s">
        <v>5</v>
      </c>
      <c r="C21" s="5">
        <v>2029</v>
      </c>
      <c r="D21" s="6">
        <v>43552</v>
      </c>
      <c r="E21" s="4">
        <f t="shared" si="0"/>
        <v>2019</v>
      </c>
    </row>
    <row r="22" spans="2:5" x14ac:dyDescent="0.25">
      <c r="B22" s="4" t="s">
        <v>5</v>
      </c>
      <c r="C22" s="5">
        <v>1944</v>
      </c>
      <c r="D22" s="6">
        <v>44592</v>
      </c>
      <c r="E22" s="4">
        <f t="shared" si="0"/>
        <v>2022</v>
      </c>
    </row>
    <row r="23" spans="2:5" x14ac:dyDescent="0.25">
      <c r="B23" s="4" t="s">
        <v>5</v>
      </c>
      <c r="C23" s="5">
        <v>3418</v>
      </c>
      <c r="D23" s="6">
        <v>44585</v>
      </c>
      <c r="E23" s="4">
        <f t="shared" si="0"/>
        <v>2022</v>
      </c>
    </row>
    <row r="24" spans="2:5" x14ac:dyDescent="0.25">
      <c r="B24" s="4" t="s">
        <v>5</v>
      </c>
      <c r="C24" s="5">
        <v>6391</v>
      </c>
      <c r="D24" s="6">
        <v>44578</v>
      </c>
      <c r="E24" s="4">
        <f t="shared" si="0"/>
        <v>2022</v>
      </c>
    </row>
    <row r="25" spans="2:5" x14ac:dyDescent="0.25">
      <c r="B25" s="4" t="s">
        <v>5</v>
      </c>
      <c r="C25" s="5">
        <v>4286</v>
      </c>
      <c r="D25" s="6">
        <v>44571</v>
      </c>
      <c r="E25" s="4">
        <f t="shared" si="0"/>
        <v>2022</v>
      </c>
    </row>
    <row r="26" spans="2:5" x14ac:dyDescent="0.25">
      <c r="B26" s="4" t="s">
        <v>5</v>
      </c>
      <c r="C26" s="5">
        <v>1789</v>
      </c>
      <c r="D26" s="6">
        <v>44564</v>
      </c>
      <c r="E26" s="4">
        <f t="shared" si="0"/>
        <v>2022</v>
      </c>
    </row>
    <row r="27" spans="2:5" x14ac:dyDescent="0.25">
      <c r="B27" s="4" t="s">
        <v>5</v>
      </c>
      <c r="C27" s="5">
        <v>4005</v>
      </c>
      <c r="D27" s="6">
        <v>44557</v>
      </c>
      <c r="E27" s="4">
        <f t="shared" si="0"/>
        <v>2021</v>
      </c>
    </row>
    <row r="28" spans="2:5" x14ac:dyDescent="0.25">
      <c r="B28" s="4" t="s">
        <v>5</v>
      </c>
      <c r="C28" s="5">
        <v>6298</v>
      </c>
      <c r="D28" s="6">
        <v>44550</v>
      </c>
      <c r="E28" s="4">
        <f t="shared" si="0"/>
        <v>2021</v>
      </c>
    </row>
    <row r="29" spans="2:5" x14ac:dyDescent="0.25">
      <c r="B29" s="4" t="s">
        <v>5</v>
      </c>
      <c r="C29" s="5">
        <v>3183</v>
      </c>
      <c r="D29" s="6">
        <v>44543</v>
      </c>
      <c r="E29" s="4">
        <f t="shared" si="0"/>
        <v>2021</v>
      </c>
    </row>
    <row r="30" spans="2:5" x14ac:dyDescent="0.25">
      <c r="B30" s="4" t="s">
        <v>5</v>
      </c>
      <c r="C30" s="5">
        <v>4187</v>
      </c>
      <c r="D30" s="6">
        <v>43939</v>
      </c>
      <c r="E30" s="4">
        <f t="shared" si="0"/>
        <v>2020</v>
      </c>
    </row>
    <row r="31" spans="2:5" x14ac:dyDescent="0.25">
      <c r="B31" s="4" t="s">
        <v>5</v>
      </c>
      <c r="C31" s="5">
        <v>8833</v>
      </c>
      <c r="D31" s="6">
        <v>44529</v>
      </c>
      <c r="E31" s="4">
        <f t="shared" si="0"/>
        <v>2021</v>
      </c>
    </row>
    <row r="32" spans="2:5" x14ac:dyDescent="0.25">
      <c r="B32" s="4" t="s">
        <v>5</v>
      </c>
      <c r="C32" s="5">
        <v>7105</v>
      </c>
      <c r="D32" s="6">
        <v>44522</v>
      </c>
      <c r="E32" s="4">
        <f t="shared" si="0"/>
        <v>2021</v>
      </c>
    </row>
    <row r="33" spans="2:5" x14ac:dyDescent="0.25">
      <c r="B33" s="4" t="s">
        <v>5</v>
      </c>
      <c r="C33" s="5">
        <v>5161</v>
      </c>
      <c r="D33" s="6">
        <v>44515</v>
      </c>
      <c r="E33" s="4">
        <f t="shared" si="0"/>
        <v>2021</v>
      </c>
    </row>
    <row r="34" spans="2:5" x14ac:dyDescent="0.25">
      <c r="B34" s="4" t="s">
        <v>5</v>
      </c>
      <c r="C34" s="5">
        <v>7835</v>
      </c>
      <c r="D34" s="6">
        <v>43939</v>
      </c>
      <c r="E34" s="4">
        <f t="shared" si="0"/>
        <v>2020</v>
      </c>
    </row>
    <row r="35" spans="2:5" x14ac:dyDescent="0.25">
      <c r="B35" s="4" t="s">
        <v>5</v>
      </c>
      <c r="C35" s="5">
        <v>2548</v>
      </c>
      <c r="D35" s="6">
        <v>44501</v>
      </c>
      <c r="E35" s="4">
        <f t="shared" si="0"/>
        <v>2021</v>
      </c>
    </row>
    <row r="36" spans="2:5" x14ac:dyDescent="0.25">
      <c r="B36" s="4" t="s">
        <v>5</v>
      </c>
      <c r="C36" s="5">
        <v>1931</v>
      </c>
      <c r="D36" s="6">
        <v>43939</v>
      </c>
      <c r="E36" s="4">
        <f t="shared" si="0"/>
        <v>2020</v>
      </c>
    </row>
    <row r="37" spans="2:5" x14ac:dyDescent="0.25">
      <c r="B37" s="4" t="s">
        <v>5</v>
      </c>
      <c r="C37" s="5">
        <v>3304</v>
      </c>
      <c r="D37" s="6">
        <v>43939</v>
      </c>
      <c r="E37" s="4">
        <f t="shared" si="0"/>
        <v>2020</v>
      </c>
    </row>
    <row r="38" spans="2:5" x14ac:dyDescent="0.25">
      <c r="B38" s="4" t="s">
        <v>5</v>
      </c>
      <c r="C38" s="5">
        <v>8632</v>
      </c>
      <c r="D38" s="6">
        <v>43939</v>
      </c>
      <c r="E38" s="4">
        <f t="shared" si="0"/>
        <v>2020</v>
      </c>
    </row>
    <row r="39" spans="2:5" x14ac:dyDescent="0.25">
      <c r="B39" s="4" t="s">
        <v>5</v>
      </c>
      <c r="C39" s="5">
        <v>6790</v>
      </c>
      <c r="D39" s="6">
        <v>43939</v>
      </c>
      <c r="E39" s="4">
        <f t="shared" si="0"/>
        <v>2020</v>
      </c>
    </row>
    <row r="40" spans="2:5" x14ac:dyDescent="0.25">
      <c r="B40" s="4" t="s">
        <v>5</v>
      </c>
      <c r="C40" s="5">
        <v>7204</v>
      </c>
      <c r="D40" s="6">
        <v>43939</v>
      </c>
      <c r="E40" s="4">
        <f t="shared" si="0"/>
        <v>2020</v>
      </c>
    </row>
    <row r="41" spans="2:5" x14ac:dyDescent="0.25">
      <c r="B41" s="4" t="s">
        <v>5</v>
      </c>
      <c r="C41" s="5">
        <v>3933</v>
      </c>
      <c r="D41" s="6">
        <v>44459</v>
      </c>
      <c r="E41" s="4">
        <f t="shared" si="0"/>
        <v>2021</v>
      </c>
    </row>
    <row r="42" spans="2:5" x14ac:dyDescent="0.25">
      <c r="B42" s="4" t="s">
        <v>5</v>
      </c>
      <c r="C42" s="5">
        <v>4401</v>
      </c>
      <c r="D42" s="6">
        <v>44452</v>
      </c>
      <c r="E42" s="4">
        <f t="shared" si="0"/>
        <v>2021</v>
      </c>
    </row>
    <row r="43" spans="2:5" x14ac:dyDescent="0.25">
      <c r="B43" s="4" t="s">
        <v>5</v>
      </c>
      <c r="C43" s="5">
        <v>5557</v>
      </c>
      <c r="D43" s="6">
        <v>44445</v>
      </c>
      <c r="E43" s="4">
        <f t="shared" si="0"/>
        <v>2021</v>
      </c>
    </row>
    <row r="44" spans="2:5" x14ac:dyDescent="0.25">
      <c r="B44" s="4" t="s">
        <v>5</v>
      </c>
      <c r="C44" s="5">
        <v>2211</v>
      </c>
      <c r="D44" s="6">
        <v>44438</v>
      </c>
      <c r="E44" s="4">
        <f t="shared" si="0"/>
        <v>2021</v>
      </c>
    </row>
    <row r="45" spans="2:5" x14ac:dyDescent="0.25">
      <c r="B45" s="4" t="s">
        <v>5</v>
      </c>
      <c r="C45" s="5">
        <v>4797</v>
      </c>
      <c r="D45" s="6">
        <v>44431</v>
      </c>
      <c r="E45" s="4">
        <f t="shared" si="0"/>
        <v>2021</v>
      </c>
    </row>
    <row r="46" spans="2:5" x14ac:dyDescent="0.25">
      <c r="B46" s="4" t="s">
        <v>5</v>
      </c>
      <c r="C46" s="5">
        <v>9041</v>
      </c>
      <c r="D46" s="6">
        <v>44725</v>
      </c>
      <c r="E46" s="4">
        <f t="shared" si="0"/>
        <v>2022</v>
      </c>
    </row>
    <row r="47" spans="2:5" x14ac:dyDescent="0.25">
      <c r="B47" s="4" t="s">
        <v>5</v>
      </c>
      <c r="C47" s="5">
        <v>4861</v>
      </c>
      <c r="D47" s="6">
        <v>44417</v>
      </c>
      <c r="E47" s="4">
        <f t="shared" si="0"/>
        <v>2021</v>
      </c>
    </row>
    <row r="48" spans="2:5" x14ac:dyDescent="0.25">
      <c r="B48" s="4" t="s">
        <v>5</v>
      </c>
      <c r="C48" s="5">
        <v>7451</v>
      </c>
      <c r="D48" s="6">
        <v>44725</v>
      </c>
      <c r="E48" s="4">
        <f t="shared" si="0"/>
        <v>2022</v>
      </c>
    </row>
    <row r="49" spans="2:5" x14ac:dyDescent="0.25">
      <c r="B49" s="4" t="s">
        <v>5</v>
      </c>
      <c r="C49" s="5">
        <v>9779</v>
      </c>
      <c r="D49" s="6">
        <v>44403</v>
      </c>
      <c r="E49" s="4">
        <f t="shared" si="0"/>
        <v>2021</v>
      </c>
    </row>
    <row r="50" spans="2:5" x14ac:dyDescent="0.25">
      <c r="B50" s="4" t="s">
        <v>5</v>
      </c>
      <c r="C50" s="5">
        <v>5125</v>
      </c>
      <c r="D50" s="6">
        <v>44725</v>
      </c>
      <c r="E50" s="4">
        <f t="shared" si="0"/>
        <v>2022</v>
      </c>
    </row>
    <row r="51" spans="2:5" x14ac:dyDescent="0.25">
      <c r="B51" s="4" t="s">
        <v>5</v>
      </c>
      <c r="C51" s="5">
        <v>4180</v>
      </c>
      <c r="D51" s="6">
        <v>44389</v>
      </c>
      <c r="E51" s="4">
        <f t="shared" si="0"/>
        <v>2021</v>
      </c>
    </row>
    <row r="52" spans="2:5" x14ac:dyDescent="0.25">
      <c r="B52" s="4" t="s">
        <v>5</v>
      </c>
      <c r="C52" s="5">
        <v>9770</v>
      </c>
      <c r="D52" s="6">
        <v>44382</v>
      </c>
      <c r="E52" s="4">
        <f t="shared" si="0"/>
        <v>2021</v>
      </c>
    </row>
    <row r="53" spans="2:5" x14ac:dyDescent="0.25">
      <c r="B53" s="4" t="s">
        <v>5</v>
      </c>
      <c r="C53" s="5">
        <v>8649</v>
      </c>
      <c r="D53" s="6">
        <v>44725</v>
      </c>
      <c r="E53" s="4">
        <f t="shared" si="0"/>
        <v>2022</v>
      </c>
    </row>
    <row r="54" spans="2:5" x14ac:dyDescent="0.25">
      <c r="B54" s="4" t="s">
        <v>5</v>
      </c>
      <c r="C54" s="5">
        <v>4976</v>
      </c>
      <c r="D54" s="6">
        <v>44368</v>
      </c>
      <c r="E54" s="4">
        <f t="shared" si="0"/>
        <v>2021</v>
      </c>
    </row>
  </sheetData>
  <mergeCells count="1">
    <mergeCell ref="G2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405E-9B93-49DC-AFAF-C428E4E0374B}">
  <dimension ref="B1:I46"/>
  <sheetViews>
    <sheetView showGridLines="0" tabSelected="1" topLeftCell="A4" workbookViewId="0">
      <selection activeCell="H18" sqref="H18"/>
    </sheetView>
  </sheetViews>
  <sheetFormatPr defaultColWidth="11.25" defaultRowHeight="15" customHeight="1" x14ac:dyDescent="0.25"/>
  <cols>
    <col min="1" max="4" width="10.625" customWidth="1"/>
    <col min="5" max="5" width="25" customWidth="1"/>
    <col min="6" max="6" width="10.625" customWidth="1"/>
    <col min="7" max="7" width="10.75" customWidth="1"/>
    <col min="8" max="8" width="14.625" customWidth="1"/>
    <col min="9" max="9" width="9.625" customWidth="1"/>
    <col min="10" max="26" width="10.625" customWidth="1"/>
  </cols>
  <sheetData>
    <row r="1" spans="2:9" x14ac:dyDescent="0.25"/>
    <row r="2" spans="2:9" x14ac:dyDescent="0.25">
      <c r="B2" s="9" t="s">
        <v>2</v>
      </c>
      <c r="C2" s="9" t="s">
        <v>6</v>
      </c>
      <c r="D2" s="9" t="s">
        <v>7</v>
      </c>
      <c r="E2" s="9" t="s">
        <v>8</v>
      </c>
      <c r="F2" s="9" t="s">
        <v>9</v>
      </c>
      <c r="H2" s="10" t="s">
        <v>10</v>
      </c>
      <c r="I2" s="11" t="s">
        <v>45</v>
      </c>
    </row>
    <row r="3" spans="2:9" x14ac:dyDescent="0.25">
      <c r="B3" s="12">
        <v>44562</v>
      </c>
      <c r="C3" s="13" t="str">
        <f>TEXT(B3,"MMMM")</f>
        <v>janvier</v>
      </c>
      <c r="D3" s="13" t="s">
        <v>11</v>
      </c>
      <c r="E3" s="13" t="s">
        <v>12</v>
      </c>
      <c r="F3" s="18">
        <v>1120</v>
      </c>
      <c r="H3" s="13" t="s">
        <v>13</v>
      </c>
    </row>
    <row r="4" spans="2:9" x14ac:dyDescent="0.25">
      <c r="B4" s="12">
        <v>44562</v>
      </c>
      <c r="C4" s="13" t="str">
        <f t="shared" ref="C3:C46" si="0">TEXT(B4,"MMMM")</f>
        <v>janvier</v>
      </c>
      <c r="D4" s="13" t="s">
        <v>14</v>
      </c>
      <c r="E4" s="13" t="s">
        <v>15</v>
      </c>
      <c r="F4" s="18">
        <v>140</v>
      </c>
      <c r="H4" s="4" t="s">
        <v>16</v>
      </c>
      <c r="I4" s="14">
        <f>SUMIFS($F$3:$F$46,$C$3:$C$46,I2,$D$3:$D$46,H4)</f>
        <v>3000</v>
      </c>
    </row>
    <row r="5" spans="2:9" x14ac:dyDescent="0.25">
      <c r="B5" s="12">
        <v>44562</v>
      </c>
      <c r="C5" s="13" t="str">
        <f t="shared" si="0"/>
        <v>janvier</v>
      </c>
      <c r="D5" s="13" t="s">
        <v>17</v>
      </c>
      <c r="E5" s="13" t="s">
        <v>18</v>
      </c>
      <c r="F5" s="18">
        <v>55</v>
      </c>
      <c r="H5" s="4" t="s">
        <v>19</v>
      </c>
      <c r="I5" s="14">
        <f>SUMIFS($F$3:$F$46,$C$3:$C$46,$I$2,$D$3:$D$46,H5)</f>
        <v>669</v>
      </c>
    </row>
    <row r="6" spans="2:9" x14ac:dyDescent="0.25">
      <c r="B6" s="12">
        <v>44569</v>
      </c>
      <c r="C6" s="13" t="str">
        <f t="shared" si="0"/>
        <v>janvier</v>
      </c>
      <c r="D6" s="13" t="s">
        <v>20</v>
      </c>
      <c r="E6" s="13" t="s">
        <v>21</v>
      </c>
      <c r="F6" s="18">
        <v>449</v>
      </c>
      <c r="H6" s="4" t="s">
        <v>22</v>
      </c>
      <c r="I6" s="14">
        <f>SUMIFS($F$3:$F$46,$C$3:$C$46,$I$2,$D$3:$D$46,H6)</f>
        <v>258</v>
      </c>
    </row>
    <row r="7" spans="2:9" x14ac:dyDescent="0.25">
      <c r="B7" s="12">
        <v>44572</v>
      </c>
      <c r="C7" s="13" t="str">
        <f t="shared" si="0"/>
        <v>janvier</v>
      </c>
      <c r="D7" s="13" t="s">
        <v>23</v>
      </c>
      <c r="E7" s="13" t="s">
        <v>24</v>
      </c>
      <c r="F7" s="18">
        <v>245</v>
      </c>
      <c r="H7" s="15" t="s">
        <v>25</v>
      </c>
      <c r="I7" s="16">
        <f>SUM(I4:I6)</f>
        <v>3927</v>
      </c>
    </row>
    <row r="8" spans="2:9" x14ac:dyDescent="0.25">
      <c r="B8" s="12">
        <v>44573</v>
      </c>
      <c r="C8" s="13" t="str">
        <f t="shared" si="0"/>
        <v>janvier</v>
      </c>
      <c r="D8" s="13" t="s">
        <v>23</v>
      </c>
      <c r="E8" s="13" t="s">
        <v>26</v>
      </c>
      <c r="F8" s="18">
        <v>168</v>
      </c>
      <c r="I8" s="17"/>
    </row>
    <row r="9" spans="2:9" x14ac:dyDescent="0.25">
      <c r="B9" s="12">
        <v>44573</v>
      </c>
      <c r="C9" s="13" t="str">
        <f t="shared" si="0"/>
        <v>janvier</v>
      </c>
      <c r="D9" s="13" t="s">
        <v>23</v>
      </c>
      <c r="E9" s="13" t="s">
        <v>27</v>
      </c>
      <c r="F9" s="18">
        <v>149</v>
      </c>
      <c r="H9" s="13" t="s">
        <v>28</v>
      </c>
      <c r="I9" s="17"/>
    </row>
    <row r="10" spans="2:9" x14ac:dyDescent="0.25">
      <c r="B10" s="12">
        <v>44575</v>
      </c>
      <c r="C10" s="13" t="str">
        <f t="shared" si="0"/>
        <v>janvier</v>
      </c>
      <c r="D10" s="13" t="s">
        <v>29</v>
      </c>
      <c r="E10" s="13" t="s">
        <v>30</v>
      </c>
      <c r="F10" s="18">
        <v>249</v>
      </c>
      <c r="H10" s="4" t="s">
        <v>11</v>
      </c>
      <c r="I10" s="14">
        <f>SUMIFS($F$3:$F$46,$C$3:$C$46,$I$2,$D$3:$D$46,H10)</f>
        <v>1120</v>
      </c>
    </row>
    <row r="11" spans="2:9" x14ac:dyDescent="0.25">
      <c r="B11" s="12">
        <v>44592</v>
      </c>
      <c r="C11" s="13" t="str">
        <f t="shared" si="0"/>
        <v>janvier</v>
      </c>
      <c r="D11" s="13" t="s">
        <v>19</v>
      </c>
      <c r="E11" s="13" t="s">
        <v>31</v>
      </c>
      <c r="F11" s="18">
        <v>458</v>
      </c>
      <c r="H11" s="4" t="s">
        <v>14</v>
      </c>
      <c r="I11" s="14">
        <f t="shared" ref="I11:I15" si="1">SUMIFS($F$3:$F$46,$C$3:$C$46,$I$2,$D$3:$D$46,H11)</f>
        <v>140</v>
      </c>
    </row>
    <row r="12" spans="2:9" x14ac:dyDescent="0.25">
      <c r="B12" s="12">
        <v>44592</v>
      </c>
      <c r="C12" s="13" t="str">
        <f t="shared" si="0"/>
        <v>janvier</v>
      </c>
      <c r="D12" s="13" t="s">
        <v>16</v>
      </c>
      <c r="E12" s="13" t="s">
        <v>32</v>
      </c>
      <c r="F12" s="18">
        <v>3000</v>
      </c>
      <c r="H12" s="4" t="s">
        <v>17</v>
      </c>
      <c r="I12" s="14">
        <f t="shared" si="1"/>
        <v>55</v>
      </c>
    </row>
    <row r="13" spans="2:9" x14ac:dyDescent="0.25">
      <c r="B13" s="12">
        <v>44592</v>
      </c>
      <c r="C13" s="13" t="str">
        <f t="shared" si="0"/>
        <v>janvier</v>
      </c>
      <c r="D13" s="13" t="s">
        <v>22</v>
      </c>
      <c r="E13" s="13" t="s">
        <v>33</v>
      </c>
      <c r="F13" s="18">
        <v>184</v>
      </c>
      <c r="H13" s="4" t="s">
        <v>20</v>
      </c>
      <c r="I13" s="14">
        <f t="shared" si="1"/>
        <v>449</v>
      </c>
    </row>
    <row r="14" spans="2:9" x14ac:dyDescent="0.25">
      <c r="B14" s="12">
        <v>44593</v>
      </c>
      <c r="C14" s="13" t="str">
        <f t="shared" si="0"/>
        <v>février</v>
      </c>
      <c r="D14" s="13" t="s">
        <v>11</v>
      </c>
      <c r="E14" s="13" t="s">
        <v>12</v>
      </c>
      <c r="F14" s="18">
        <v>1120</v>
      </c>
      <c r="H14" s="4" t="s">
        <v>23</v>
      </c>
      <c r="I14" s="14">
        <f t="shared" si="1"/>
        <v>462</v>
      </c>
    </row>
    <row r="15" spans="2:9" x14ac:dyDescent="0.25">
      <c r="B15" s="12">
        <v>44593</v>
      </c>
      <c r="C15" s="13" t="str">
        <f t="shared" si="0"/>
        <v>février</v>
      </c>
      <c r="D15" s="13" t="s">
        <v>14</v>
      </c>
      <c r="E15" s="13" t="s">
        <v>34</v>
      </c>
      <c r="F15" s="18">
        <v>105</v>
      </c>
      <c r="H15" s="4" t="s">
        <v>29</v>
      </c>
      <c r="I15" s="14">
        <f t="shared" si="1"/>
        <v>249</v>
      </c>
    </row>
    <row r="16" spans="2:9" x14ac:dyDescent="0.25">
      <c r="B16" s="12">
        <v>44593</v>
      </c>
      <c r="C16" s="13" t="str">
        <f t="shared" si="0"/>
        <v>février</v>
      </c>
      <c r="D16" s="13" t="s">
        <v>17</v>
      </c>
      <c r="E16" s="13" t="s">
        <v>18</v>
      </c>
      <c r="F16" s="18">
        <v>55</v>
      </c>
      <c r="H16" s="15" t="s">
        <v>35</v>
      </c>
      <c r="I16" s="16">
        <f>SUM(I10:I15)</f>
        <v>2475</v>
      </c>
    </row>
    <row r="17" spans="2:6" x14ac:dyDescent="0.25">
      <c r="B17" s="12">
        <v>44600</v>
      </c>
      <c r="C17" s="13" t="str">
        <f t="shared" si="0"/>
        <v>février</v>
      </c>
      <c r="D17" s="13" t="s">
        <v>20</v>
      </c>
      <c r="E17" s="13" t="s">
        <v>21</v>
      </c>
      <c r="F17" s="18">
        <v>305</v>
      </c>
    </row>
    <row r="18" spans="2:6" x14ac:dyDescent="0.25">
      <c r="B18" s="12">
        <v>44603</v>
      </c>
      <c r="C18" s="13" t="str">
        <f t="shared" si="0"/>
        <v>février</v>
      </c>
      <c r="D18" s="13" t="s">
        <v>23</v>
      </c>
      <c r="E18" s="13" t="s">
        <v>36</v>
      </c>
      <c r="F18" s="18">
        <v>28</v>
      </c>
    </row>
    <row r="19" spans="2:6" x14ac:dyDescent="0.25">
      <c r="B19" s="12">
        <v>44604</v>
      </c>
      <c r="C19" s="13" t="str">
        <f t="shared" si="0"/>
        <v>février</v>
      </c>
      <c r="D19" s="13" t="s">
        <v>23</v>
      </c>
      <c r="E19" s="13" t="s">
        <v>37</v>
      </c>
      <c r="F19" s="18">
        <v>99</v>
      </c>
    </row>
    <row r="20" spans="2:6" x14ac:dyDescent="0.25">
      <c r="B20" s="12">
        <v>44604</v>
      </c>
      <c r="C20" s="13" t="str">
        <f t="shared" si="0"/>
        <v>février</v>
      </c>
      <c r="D20" s="13" t="s">
        <v>23</v>
      </c>
      <c r="E20" s="13" t="s">
        <v>38</v>
      </c>
      <c r="F20" s="18">
        <v>67</v>
      </c>
    </row>
    <row r="21" spans="2:6" x14ac:dyDescent="0.25">
      <c r="B21" s="12">
        <v>44606</v>
      </c>
      <c r="C21" s="13" t="str">
        <f t="shared" si="0"/>
        <v>février</v>
      </c>
      <c r="D21" s="13" t="s">
        <v>29</v>
      </c>
      <c r="E21" s="13" t="s">
        <v>39</v>
      </c>
      <c r="F21" s="18">
        <v>18</v>
      </c>
    </row>
    <row r="22" spans="2:6" x14ac:dyDescent="0.25">
      <c r="B22" s="12">
        <v>44620</v>
      </c>
      <c r="C22" s="13" t="str">
        <f t="shared" si="0"/>
        <v>février</v>
      </c>
      <c r="D22" s="13" t="s">
        <v>19</v>
      </c>
      <c r="E22" s="13" t="s">
        <v>31</v>
      </c>
      <c r="F22" s="18">
        <v>305</v>
      </c>
    </row>
    <row r="23" spans="2:6" x14ac:dyDescent="0.25">
      <c r="B23" s="12">
        <v>44620</v>
      </c>
      <c r="C23" s="13" t="str">
        <f t="shared" si="0"/>
        <v>février</v>
      </c>
      <c r="D23" s="13" t="s">
        <v>16</v>
      </c>
      <c r="E23" s="13" t="s">
        <v>32</v>
      </c>
      <c r="F23" s="18">
        <v>3000</v>
      </c>
    </row>
    <row r="24" spans="2:6" x14ac:dyDescent="0.25">
      <c r="B24" s="12">
        <v>44620</v>
      </c>
      <c r="C24" s="13" t="str">
        <f t="shared" si="0"/>
        <v>février</v>
      </c>
      <c r="D24" s="13" t="s">
        <v>22</v>
      </c>
      <c r="E24" s="13" t="s">
        <v>33</v>
      </c>
      <c r="F24" s="18">
        <v>228</v>
      </c>
    </row>
    <row r="25" spans="2:6" x14ac:dyDescent="0.25">
      <c r="B25" s="12">
        <v>44621</v>
      </c>
      <c r="C25" s="13" t="str">
        <f t="shared" si="0"/>
        <v>mars</v>
      </c>
      <c r="D25" s="13" t="s">
        <v>11</v>
      </c>
      <c r="E25" s="13" t="s">
        <v>12</v>
      </c>
      <c r="F25" s="18">
        <v>1120</v>
      </c>
    </row>
    <row r="26" spans="2:6" x14ac:dyDescent="0.25">
      <c r="B26" s="12">
        <v>44621</v>
      </c>
      <c r="C26" s="13" t="str">
        <f t="shared" si="0"/>
        <v>mars</v>
      </c>
      <c r="D26" s="13" t="s">
        <v>14</v>
      </c>
      <c r="E26" s="13" t="s">
        <v>34</v>
      </c>
      <c r="F26" s="18">
        <v>110</v>
      </c>
    </row>
    <row r="27" spans="2:6" x14ac:dyDescent="0.25">
      <c r="B27" s="12">
        <v>44621</v>
      </c>
      <c r="C27" s="13" t="str">
        <f t="shared" si="0"/>
        <v>mars</v>
      </c>
      <c r="D27" s="13" t="s">
        <v>17</v>
      </c>
      <c r="E27" s="13" t="s">
        <v>18</v>
      </c>
      <c r="F27" s="18">
        <v>55</v>
      </c>
    </row>
    <row r="28" spans="2:6" x14ac:dyDescent="0.25">
      <c r="B28" s="12">
        <v>44628</v>
      </c>
      <c r="C28" s="13" t="str">
        <f t="shared" si="0"/>
        <v>mars</v>
      </c>
      <c r="D28" s="13" t="s">
        <v>20</v>
      </c>
      <c r="E28" s="13" t="s">
        <v>21</v>
      </c>
      <c r="F28" s="18">
        <v>208</v>
      </c>
    </row>
    <row r="29" spans="2:6" x14ac:dyDescent="0.25">
      <c r="B29" s="12">
        <v>44631</v>
      </c>
      <c r="C29" s="13" t="str">
        <f t="shared" si="0"/>
        <v>mars</v>
      </c>
      <c r="D29" s="13" t="s">
        <v>23</v>
      </c>
      <c r="E29" s="13" t="s">
        <v>40</v>
      </c>
      <c r="F29" s="18">
        <v>188</v>
      </c>
    </row>
    <row r="30" spans="2:6" x14ac:dyDescent="0.25">
      <c r="B30" s="12">
        <v>44632</v>
      </c>
      <c r="C30" s="13" t="str">
        <f t="shared" si="0"/>
        <v>mars</v>
      </c>
      <c r="D30" s="13" t="s">
        <v>23</v>
      </c>
      <c r="E30" s="13" t="s">
        <v>41</v>
      </c>
      <c r="F30" s="18">
        <v>168</v>
      </c>
    </row>
    <row r="31" spans="2:6" x14ac:dyDescent="0.25">
      <c r="B31" s="12">
        <v>44632</v>
      </c>
      <c r="C31" s="13" t="str">
        <f t="shared" si="0"/>
        <v>mars</v>
      </c>
      <c r="D31" s="13" t="s">
        <v>23</v>
      </c>
      <c r="E31" s="13" t="s">
        <v>42</v>
      </c>
      <c r="F31" s="18">
        <v>49</v>
      </c>
    </row>
    <row r="32" spans="2:6" x14ac:dyDescent="0.25">
      <c r="B32" s="12">
        <v>44634</v>
      </c>
      <c r="C32" s="13" t="str">
        <f t="shared" si="0"/>
        <v>mars</v>
      </c>
      <c r="D32" s="13" t="s">
        <v>29</v>
      </c>
      <c r="E32" s="13" t="s">
        <v>30</v>
      </c>
      <c r="F32" s="18">
        <v>199</v>
      </c>
    </row>
    <row r="33" spans="2:6" x14ac:dyDescent="0.25">
      <c r="B33" s="12">
        <v>44648</v>
      </c>
      <c r="C33" s="13" t="str">
        <f t="shared" si="0"/>
        <v>mars</v>
      </c>
      <c r="D33" s="13" t="s">
        <v>19</v>
      </c>
      <c r="E33" s="13" t="s">
        <v>31</v>
      </c>
      <c r="F33" s="18">
        <v>598</v>
      </c>
    </row>
    <row r="34" spans="2:6" x14ac:dyDescent="0.25">
      <c r="B34" s="12">
        <v>44648</v>
      </c>
      <c r="C34" s="13" t="str">
        <f t="shared" si="0"/>
        <v>mars</v>
      </c>
      <c r="D34" s="13" t="s">
        <v>16</v>
      </c>
      <c r="E34" s="13" t="s">
        <v>32</v>
      </c>
      <c r="F34" s="18">
        <v>3000</v>
      </c>
    </row>
    <row r="35" spans="2:6" x14ac:dyDescent="0.25">
      <c r="B35" s="12">
        <v>44648</v>
      </c>
      <c r="C35" s="13" t="str">
        <f t="shared" si="0"/>
        <v>mars</v>
      </c>
      <c r="D35" s="13" t="s">
        <v>22</v>
      </c>
      <c r="E35" s="13" t="s">
        <v>33</v>
      </c>
      <c r="F35" s="18">
        <v>59</v>
      </c>
    </row>
    <row r="36" spans="2:6" x14ac:dyDescent="0.25">
      <c r="B36" s="12">
        <v>44652</v>
      </c>
      <c r="C36" s="13" t="str">
        <f t="shared" si="0"/>
        <v>avril</v>
      </c>
      <c r="D36" s="13" t="s">
        <v>11</v>
      </c>
      <c r="E36" s="13" t="s">
        <v>12</v>
      </c>
      <c r="F36" s="18">
        <v>1120</v>
      </c>
    </row>
    <row r="37" spans="2:6" x14ac:dyDescent="0.25">
      <c r="B37" s="12">
        <v>44652</v>
      </c>
      <c r="C37" s="13" t="str">
        <f t="shared" si="0"/>
        <v>avril</v>
      </c>
      <c r="D37" s="13" t="s">
        <v>14</v>
      </c>
      <c r="E37" s="13" t="s">
        <v>15</v>
      </c>
      <c r="F37" s="18">
        <v>140</v>
      </c>
    </row>
    <row r="38" spans="2:6" x14ac:dyDescent="0.25">
      <c r="B38" s="12">
        <v>44652</v>
      </c>
      <c r="C38" s="13" t="str">
        <f t="shared" si="0"/>
        <v>avril</v>
      </c>
      <c r="D38" s="13" t="s">
        <v>17</v>
      </c>
      <c r="E38" s="13" t="s">
        <v>18</v>
      </c>
      <c r="F38" s="18">
        <v>55</v>
      </c>
    </row>
    <row r="39" spans="2:6" x14ac:dyDescent="0.25">
      <c r="B39" s="12">
        <v>44659</v>
      </c>
      <c r="C39" s="13" t="str">
        <f t="shared" si="0"/>
        <v>avril</v>
      </c>
      <c r="D39" s="13" t="s">
        <v>20</v>
      </c>
      <c r="E39" s="13" t="s">
        <v>21</v>
      </c>
      <c r="F39" s="18">
        <v>449</v>
      </c>
    </row>
    <row r="40" spans="2:6" x14ac:dyDescent="0.25">
      <c r="B40" s="12">
        <v>44662</v>
      </c>
      <c r="C40" s="13" t="str">
        <f t="shared" si="0"/>
        <v>avril</v>
      </c>
      <c r="D40" s="13" t="s">
        <v>23</v>
      </c>
      <c r="E40" s="13" t="s">
        <v>43</v>
      </c>
      <c r="F40" s="18">
        <v>245</v>
      </c>
    </row>
    <row r="41" spans="2:6" x14ac:dyDescent="0.25">
      <c r="B41" s="12">
        <v>44663</v>
      </c>
      <c r="C41" s="13" t="str">
        <f t="shared" si="0"/>
        <v>avril</v>
      </c>
      <c r="D41" s="13" t="s">
        <v>23</v>
      </c>
      <c r="E41" s="13" t="s">
        <v>26</v>
      </c>
      <c r="F41" s="18">
        <v>168</v>
      </c>
    </row>
    <row r="42" spans="2:6" x14ac:dyDescent="0.25">
      <c r="B42" s="12">
        <v>44663</v>
      </c>
      <c r="C42" s="13" t="str">
        <f t="shared" si="0"/>
        <v>avril</v>
      </c>
      <c r="D42" s="13" t="s">
        <v>23</v>
      </c>
      <c r="E42" s="13" t="s">
        <v>44</v>
      </c>
      <c r="F42" s="18">
        <v>49</v>
      </c>
    </row>
    <row r="43" spans="2:6" x14ac:dyDescent="0.25">
      <c r="B43" s="12">
        <v>44665</v>
      </c>
      <c r="C43" s="13" t="str">
        <f t="shared" si="0"/>
        <v>avril</v>
      </c>
      <c r="D43" s="13" t="s">
        <v>29</v>
      </c>
      <c r="E43" s="13" t="s">
        <v>30</v>
      </c>
      <c r="F43" s="18">
        <v>249</v>
      </c>
    </row>
    <row r="44" spans="2:6" x14ac:dyDescent="0.25">
      <c r="B44" s="12">
        <v>44679</v>
      </c>
      <c r="C44" s="13" t="str">
        <f t="shared" si="0"/>
        <v>avril</v>
      </c>
      <c r="D44" s="13" t="s">
        <v>19</v>
      </c>
      <c r="E44" s="13" t="s">
        <v>31</v>
      </c>
      <c r="F44" s="18">
        <v>669</v>
      </c>
    </row>
    <row r="45" spans="2:6" x14ac:dyDescent="0.25">
      <c r="B45" s="12">
        <v>44679</v>
      </c>
      <c r="C45" s="13" t="str">
        <f t="shared" si="0"/>
        <v>avril</v>
      </c>
      <c r="D45" s="13" t="s">
        <v>16</v>
      </c>
      <c r="E45" s="13" t="s">
        <v>32</v>
      </c>
      <c r="F45" s="18">
        <v>3000</v>
      </c>
    </row>
    <row r="46" spans="2:6" x14ac:dyDescent="0.25">
      <c r="B46" s="12">
        <v>44679</v>
      </c>
      <c r="C46" s="13" t="str">
        <f t="shared" si="0"/>
        <v>avril</v>
      </c>
      <c r="D46" s="13" t="s">
        <v>22</v>
      </c>
      <c r="E46" s="13" t="s">
        <v>33</v>
      </c>
      <c r="F46" s="18">
        <v>258</v>
      </c>
    </row>
  </sheetData>
  <dataValidations count="1">
    <dataValidation type="list" allowBlank="1" showErrorMessage="1" sqref="D3:D46" xr:uid="{A07AC13B-74FA-4CBF-9757-9A1F00AA91C4}">
      <formula1>$H$5:$H$13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Sumif</vt:lpstr>
      <vt:lpstr>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2026-03-04T03:38:18Z</dcterms:created>
  <dcterms:modified xsi:type="dcterms:W3CDTF">2026-03-04T03:45:11Z</dcterms:modified>
</cp:coreProperties>
</file>