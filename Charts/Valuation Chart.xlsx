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CF66197A-12E6-4382-B561-9B4792D18248}" xr6:coauthVersionLast="47" xr6:coauthVersionMax="47" xr10:uidLastSave="{00000000-0000-0000-0000-000000000000}"/>
  <bookViews>
    <workbookView xWindow="-120" yWindow="-120" windowWidth="20730" windowHeight="11160" xr2:uid="{2F9EEE3C-C22E-4A93-A5EF-1B75E4F74D0F}"/>
  </bookViews>
  <sheets>
    <sheet name="Valuation 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</calcChain>
</file>

<file path=xl/sharedStrings.xml><?xml version="1.0" encoding="utf-8"?>
<sst xmlns="http://schemas.openxmlformats.org/spreadsheetml/2006/main" count="10" uniqueCount="10">
  <si>
    <t>Valuation Range</t>
  </si>
  <si>
    <t xml:space="preserve"> Valuation Range Chart</t>
  </si>
  <si>
    <t>Min</t>
  </si>
  <si>
    <t xml:space="preserve">Range </t>
  </si>
  <si>
    <t>Max</t>
  </si>
  <si>
    <t>52-Week Trading Range</t>
  </si>
  <si>
    <t>Equity Research</t>
  </si>
  <si>
    <t>Discounted Cash Flow</t>
  </si>
  <si>
    <t>Comparables</t>
  </si>
  <si>
    <t>Precendent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</si>
</sst>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'Valuation Chart'!$C$3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'Valuation Chart'!$B$4:$B$8</c:f>
              <c:strCache>
                <c:ptCount val="5"/>
                <c:pt idx="0">
                  <c:v>52-Week Trading Range</c:v>
                </c:pt>
                <c:pt idx="1">
                  <c:v>Equity Research</c:v>
                </c:pt>
                <c:pt idx="2">
                  <c:v>Discounted Cash Flow</c:v>
                </c:pt>
                <c:pt idx="3">
                  <c:v>Comparables</c:v>
                </c:pt>
                <c:pt idx="4">
                  <c:v>Precendent Transactions</c:v>
                </c:pt>
              </c:strCache>
            </c:strRef>
          </c:cat>
          <c:val>
            <c:numRef>
              <c:f>'Valuation Chart'!$C$4:$C$8</c:f>
              <c:numCache>
                <c:formatCode>_("$"* #,##0.00_);_("$"* \(#,##0.00\);_("$"* "-"??_);_(@_)</c:formatCode>
                <c:ptCount val="5"/>
                <c:pt idx="0">
                  <c:v>24.829000000000001</c:v>
                </c:pt>
                <c:pt idx="1">
                  <c:v>26.588999999999999</c:v>
                </c:pt>
                <c:pt idx="2">
                  <c:v>25.045999999999999</c:v>
                </c:pt>
                <c:pt idx="3">
                  <c:v>23.456</c:v>
                </c:pt>
                <c:pt idx="4">
                  <c:v>28.933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D-445B-8E37-39233AF88B01}"/>
            </c:ext>
          </c:extLst>
        </c:ser>
        <c:ser>
          <c:idx val="1"/>
          <c:order val="1"/>
          <c:tx>
            <c:strRef>
              <c:f>'Valuation Chart'!$D$3</c:f>
              <c:strCache>
                <c:ptCount val="1"/>
                <c:pt idx="0">
                  <c:v>Range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'Valuation Chart'!$B$4:$B$8</c:f>
              <c:strCache>
                <c:ptCount val="5"/>
                <c:pt idx="0">
                  <c:v>52-Week Trading Range</c:v>
                </c:pt>
                <c:pt idx="1">
                  <c:v>Equity Research</c:v>
                </c:pt>
                <c:pt idx="2">
                  <c:v>Discounted Cash Flow</c:v>
                </c:pt>
                <c:pt idx="3">
                  <c:v>Comparables</c:v>
                </c:pt>
                <c:pt idx="4">
                  <c:v>Precendent Transactions</c:v>
                </c:pt>
              </c:strCache>
            </c:strRef>
          </c:cat>
          <c:val>
            <c:numRef>
              <c:f>'Valuation Chart'!$D$4:$D$8</c:f>
              <c:numCache>
                <c:formatCode>_("$"* #,##0.00_);_("$"* \(#,##0.00\);_("$"* "-"??_);_(@_)</c:formatCode>
                <c:ptCount val="5"/>
                <c:pt idx="0">
                  <c:v>9.7370000000000019</c:v>
                </c:pt>
                <c:pt idx="1">
                  <c:v>3.1759999999999984</c:v>
                </c:pt>
                <c:pt idx="2">
                  <c:v>3.5010000000000048</c:v>
                </c:pt>
                <c:pt idx="3">
                  <c:v>6.7089999999999996</c:v>
                </c:pt>
                <c:pt idx="4">
                  <c:v>7.6540000000000035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D-445B-8E37-39233AF88B01}"/>
            </c:ext>
          </c:extLst>
        </c:ser>
        <c:ser>
          <c:idx val="2"/>
          <c:order val="2"/>
          <c:tx>
            <c:strRef>
              <c:f>'Valuation Chart'!$E$3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'Valuation Chart'!$B$4:$B$8</c:f>
              <c:strCache>
                <c:ptCount val="5"/>
                <c:pt idx="0">
                  <c:v>52-Week Trading Range</c:v>
                </c:pt>
                <c:pt idx="1">
                  <c:v>Equity Research</c:v>
                </c:pt>
                <c:pt idx="2">
                  <c:v>Discounted Cash Flow</c:v>
                </c:pt>
                <c:pt idx="3">
                  <c:v>Comparables</c:v>
                </c:pt>
                <c:pt idx="4">
                  <c:v>Precendent Transactions</c:v>
                </c:pt>
              </c:strCache>
            </c:strRef>
          </c:cat>
          <c:val>
            <c:numRef>
              <c:f>'Valuation Chart'!$E$4:$E$8</c:f>
              <c:numCache>
                <c:formatCode>_("$"* #,##0.00_);_("$"* \(#,##0.00\);_("$"* "-"??_);_(@_)</c:formatCode>
                <c:ptCount val="5"/>
                <c:pt idx="0">
                  <c:v>34.566000000000003</c:v>
                </c:pt>
                <c:pt idx="1">
                  <c:v>29.764999999999997</c:v>
                </c:pt>
                <c:pt idx="2">
                  <c:v>28.547000000000004</c:v>
                </c:pt>
                <c:pt idx="3">
                  <c:v>30.164999999999999</c:v>
                </c:pt>
                <c:pt idx="4">
                  <c:v>36.587000000000003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DD-445B-8E37-39233AF88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679456"/>
        <c:axId val="996683416"/>
      </c:barChart>
      <c:catAx>
        <c:axId val="99667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83416"/>
        <c:crosses val="autoZero"/>
        <c:auto val="1"/>
        <c:lblAlgn val="ctr"/>
        <c:lblOffset val="100"/>
        <c:noMultiLvlLbl val="0"/>
      </c:catAx>
      <c:valAx>
        <c:axId val="996683416"/>
        <c:scaling>
          <c:orientation val="minMax"/>
          <c:max val="40"/>
          <c:min val="20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794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2</xdr:row>
      <xdr:rowOff>23812</xdr:rowOff>
    </xdr:from>
    <xdr:to>
      <xdr:col>13</xdr:col>
      <xdr:colOff>509587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7C0D8-C7E5-4B85-81C8-930204C8A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0.60938</cdr:x>
      <cdr:y>0.15799</cdr:y>
    </cdr:from>
    <cdr:to>
      <cdr:x>0.60938</cdr:x>
      <cdr:y>0.86979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7A892C8-48AD-FA5B-5978-65396C8C04FA}"/>
            </a:ext>
          </a:extLst>
        </cdr:cNvPr>
        <cdr:cNvCxnSpPr/>
      </cdr:nvCxnSpPr>
      <cdr:spPr>
        <a:xfrm xmlns:a="http://schemas.openxmlformats.org/drawingml/2006/main">
          <a:off x="2786063" y="433388"/>
          <a:ext cx="0" cy="195262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accent2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art%20File%20Excel%20Data%20Visualization_v2.xlsx" TargetMode="External"/><Relationship Id="rId1" Type="http://schemas.openxmlformats.org/officeDocument/2006/relationships/externalLinkPath" Target="file:///C:\Users\HP\Downloads\Start%20File%20Excel%20Data%20Visualizatio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Sheet1"/>
      <sheetName val="Valuation Chart"/>
      <sheetName val="Sheet5"/>
    </sheetNames>
    <sheetDataSet>
      <sheetData sheetId="0"/>
      <sheetData sheetId="1"/>
      <sheetData sheetId="2">
        <row r="3">
          <cell r="C3" t="str">
            <v>Min</v>
          </cell>
          <cell r="D3" t="str">
            <v xml:space="preserve">Range </v>
          </cell>
          <cell r="E3" t="str">
            <v>Max</v>
          </cell>
        </row>
        <row r="4">
          <cell r="B4" t="str">
            <v>52-Week Trading Range</v>
          </cell>
          <cell r="C4">
            <v>24.829000000000001</v>
          </cell>
          <cell r="D4">
            <v>9.7370000000000019</v>
          </cell>
          <cell r="E4">
            <v>34.566000000000003</v>
          </cell>
        </row>
        <row r="5">
          <cell r="B5" t="str">
            <v>Equity Research</v>
          </cell>
          <cell r="C5">
            <v>26.588999999999999</v>
          </cell>
          <cell r="D5">
            <v>3.1759999999999984</v>
          </cell>
          <cell r="E5">
            <v>29.764999999999997</v>
          </cell>
        </row>
        <row r="6">
          <cell r="B6" t="str">
            <v>Discounted Cash Flow</v>
          </cell>
          <cell r="C6">
            <v>25.045999999999999</v>
          </cell>
          <cell r="D6">
            <v>3.5010000000000048</v>
          </cell>
          <cell r="E6">
            <v>28.547000000000004</v>
          </cell>
        </row>
        <row r="7">
          <cell r="B7" t="str">
            <v>Comparables</v>
          </cell>
          <cell r="C7">
            <v>23.456</v>
          </cell>
          <cell r="D7">
            <v>6.7089999999999996</v>
          </cell>
          <cell r="E7">
            <v>30.164999999999999</v>
          </cell>
        </row>
        <row r="8">
          <cell r="B8" t="str">
            <v>Precendent Transactions</v>
          </cell>
          <cell r="C8">
            <v>28.933</v>
          </cell>
          <cell r="D8">
            <v>7.6540000000000035</v>
          </cell>
          <cell r="E8">
            <v>36.587000000000003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E7F8-353D-42D1-8CA0-7E82F33E513A}">
  <dimension ref="B1:N1000"/>
  <sheetViews>
    <sheetView showGridLines="0" tabSelected="1" topLeftCell="B1" workbookViewId="0">
      <selection activeCell="D16" sqref="D16"/>
    </sheetView>
  </sheetViews>
  <sheetFormatPr defaultColWidth="14.42578125" defaultRowHeight="15" customHeight="1" x14ac:dyDescent="0.25"/>
  <cols>
    <col min="1" max="1" width="8.7109375" customWidth="1"/>
    <col min="2" max="2" width="21.28515625" customWidth="1"/>
    <col min="3" max="27" width="8.7109375" customWidth="1"/>
  </cols>
  <sheetData>
    <row r="1" spans="2:14" ht="14.25" customHeight="1" x14ac:dyDescent="0.25"/>
    <row r="2" spans="2:14" ht="14.25" customHeight="1" x14ac:dyDescent="0.25">
      <c r="B2" s="1" t="s">
        <v>0</v>
      </c>
      <c r="C2" s="1"/>
      <c r="D2" s="1"/>
      <c r="E2" s="1"/>
      <c r="G2" s="2" t="s">
        <v>1</v>
      </c>
      <c r="H2" s="2"/>
      <c r="I2" s="2"/>
      <c r="J2" s="2"/>
      <c r="K2" s="2"/>
      <c r="L2" s="2"/>
      <c r="M2" s="2"/>
      <c r="N2" s="2"/>
    </row>
    <row r="3" spans="2:14" ht="14.25" customHeight="1" x14ac:dyDescent="0.25">
      <c r="C3" s="3" t="s">
        <v>2</v>
      </c>
      <c r="D3" s="3" t="s">
        <v>3</v>
      </c>
      <c r="E3" s="3" t="s">
        <v>4</v>
      </c>
    </row>
    <row r="4" spans="2:14" ht="14.25" customHeight="1" x14ac:dyDescent="0.25">
      <c r="B4" s="4" t="s">
        <v>5</v>
      </c>
      <c r="C4" s="5">
        <v>24.829000000000001</v>
      </c>
      <c r="D4" s="5">
        <f>E4-C4</f>
        <v>9.7370000000000019</v>
      </c>
      <c r="E4" s="5">
        <v>34.566000000000003</v>
      </c>
    </row>
    <row r="5" spans="2:14" ht="14.25" customHeight="1" x14ac:dyDescent="0.25">
      <c r="B5" s="4" t="s">
        <v>6</v>
      </c>
      <c r="C5" s="5">
        <v>26.588999999999999</v>
      </c>
      <c r="D5" s="5">
        <f t="shared" ref="D5:D8" si="0">E5-C5</f>
        <v>3.1759999999999984</v>
      </c>
      <c r="E5" s="5">
        <v>29.764999999999997</v>
      </c>
    </row>
    <row r="6" spans="2:14" ht="14.25" customHeight="1" x14ac:dyDescent="0.25">
      <c r="B6" s="4" t="s">
        <v>7</v>
      </c>
      <c r="C6" s="5">
        <v>25.045999999999999</v>
      </c>
      <c r="D6" s="5">
        <f t="shared" si="0"/>
        <v>3.5010000000000048</v>
      </c>
      <c r="E6" s="5">
        <v>28.547000000000004</v>
      </c>
    </row>
    <row r="7" spans="2:14" ht="14.25" customHeight="1" x14ac:dyDescent="0.25">
      <c r="B7" s="4" t="s">
        <v>8</v>
      </c>
      <c r="C7" s="5">
        <v>23.456</v>
      </c>
      <c r="D7" s="5">
        <f t="shared" si="0"/>
        <v>6.7089999999999996</v>
      </c>
      <c r="E7" s="5">
        <v>30.164999999999999</v>
      </c>
    </row>
    <row r="8" spans="2:14" ht="14.25" customHeight="1" x14ac:dyDescent="0.25">
      <c r="B8" s="4" t="s">
        <v>9</v>
      </c>
      <c r="C8" s="5">
        <v>28.933</v>
      </c>
      <c r="D8" s="5">
        <f t="shared" si="0"/>
        <v>7.6540000000000035</v>
      </c>
      <c r="E8" s="5">
        <v>36.587000000000003</v>
      </c>
    </row>
    <row r="9" spans="2:14" ht="14.25" customHeight="1" x14ac:dyDescent="0.25"/>
    <row r="10" spans="2:14" ht="14.25" customHeight="1" x14ac:dyDescent="0.25"/>
    <row r="11" spans="2:14" ht="14.25" customHeight="1" x14ac:dyDescent="0.25"/>
    <row r="12" spans="2:14" ht="14.25" customHeight="1" x14ac:dyDescent="0.25"/>
    <row r="13" spans="2:14" ht="14.25" customHeight="1" x14ac:dyDescent="0.25"/>
    <row r="14" spans="2:14" ht="14.25" customHeight="1" x14ac:dyDescent="0.25"/>
    <row r="15" spans="2:14" ht="14.25" customHeight="1" x14ac:dyDescent="0.25"/>
    <row r="16" spans="2:1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B2:E2"/>
    <mergeCell ref="G2:N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2026-03-05T04:13:33Z</dcterms:created>
  <dcterms:modified xsi:type="dcterms:W3CDTF">2026-03-05T04:13:49Z</dcterms:modified>
</cp:coreProperties>
</file>