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187EE071-1595-4539-A9A4-ABD021E523C0}" xr6:coauthVersionLast="47" xr6:coauthVersionMax="47" xr10:uidLastSave="{00000000-0000-0000-0000-000000000000}"/>
  <bookViews>
    <workbookView xWindow="-120" yWindow="-120" windowWidth="20730" windowHeight="11160" xr2:uid="{589EF90C-E2FB-4C3B-8338-72CDA530CE62}"/>
  </bookViews>
  <sheets>
    <sheet name="Revenue Growth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8" i="1"/>
  <c r="H8" i="1" s="1"/>
  <c r="D8" i="1"/>
  <c r="E8" i="1" s="1"/>
  <c r="F7" i="1"/>
  <c r="H7" i="1" s="1"/>
  <c r="D7" i="1"/>
  <c r="E7" i="1" s="1"/>
  <c r="D6" i="1"/>
  <c r="F6" i="1" s="1"/>
  <c r="D5" i="1"/>
  <c r="F5" i="1" s="1"/>
  <c r="F4" i="1"/>
  <c r="H4" i="1" s="1"/>
  <c r="E4" i="1"/>
  <c r="D4" i="1"/>
  <c r="F3" i="1"/>
  <c r="H3" i="1" s="1"/>
  <c r="D3" i="1"/>
  <c r="E3" i="1" s="1"/>
  <c r="G5" i="1" l="1"/>
  <c r="H5" i="1"/>
  <c r="H6" i="1"/>
  <c r="G6" i="1"/>
  <c r="G3" i="1"/>
  <c r="E5" i="1"/>
  <c r="G7" i="1"/>
  <c r="G4" i="1"/>
  <c r="E6" i="1"/>
  <c r="G8" i="1"/>
</calcChain>
</file>

<file path=xl/sharedStrings.xml><?xml version="1.0" encoding="utf-8"?>
<sst xmlns="http://schemas.openxmlformats.org/spreadsheetml/2006/main" count="8" uniqueCount="8">
  <si>
    <t>Month</t>
  </si>
  <si>
    <t>Revenue</t>
  </si>
  <si>
    <t>vs. Next Month</t>
  </si>
  <si>
    <t>Variance %</t>
  </si>
  <si>
    <t>Variance</t>
  </si>
  <si>
    <t>Positive Δ</t>
  </si>
  <si>
    <t>Negative Δ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</si>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</sst>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);\(#,##0\);\-\-_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E6B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17" fontId="0" fillId="0" borderId="0" xfId="0" applyNumberFormat="1"/>
    <xf numFmtId="164" fontId="1" fillId="0" borderId="0" xfId="1" applyNumberFormat="1" applyFont="1"/>
    <xf numFmtId="165" fontId="1" fillId="0" borderId="0" xfId="2" applyNumberFormat="1" applyFont="1"/>
    <xf numFmtId="16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33E6B"/>
            </a:solidFill>
            <a:ln>
              <a:noFill/>
            </a:ln>
            <a:effectLst/>
          </c:spPr>
          <c:invertIfNegative val="0"/>
          <c:cat>
            <c:numRef>
              <c:f>'Revenue Growth'!$B$3:$B$9</c:f>
              <c:numCache>
                <c:formatCode>mmm\-yy</c:formatCode>
                <c:ptCount val="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</c:numCache>
            </c:numRef>
          </c:cat>
          <c:val>
            <c:numRef>
              <c:f>'Revenue Growth'!$C$3:$C$9</c:f>
              <c:numCache>
                <c:formatCode>#,##0_);\(#,##0\);\-\-_)</c:formatCode>
                <c:ptCount val="7"/>
                <c:pt idx="0">
                  <c:v>440023.60000000003</c:v>
                </c:pt>
                <c:pt idx="1">
                  <c:v>475225.48800000001</c:v>
                </c:pt>
                <c:pt idx="2">
                  <c:v>380180.39040000003</c:v>
                </c:pt>
                <c:pt idx="3">
                  <c:v>266126.27328000002</c:v>
                </c:pt>
                <c:pt idx="4">
                  <c:v>303383.95153919997</c:v>
                </c:pt>
                <c:pt idx="5">
                  <c:v>351925.38378547196</c:v>
                </c:pt>
                <c:pt idx="6">
                  <c:v>394156.42983972863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A-4330-AC1B-1FD55B44DC7B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462668816039986E-17"/>
                  <c:y val="-0.1296296296296296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00B05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6444736-9CB5-44DD-9E4C-B804526B7110}" type="CELLRANGE">
                      <a:rPr lang="en-US"/>
                      <a:pPr>
                        <a:defRPr b="1">
                          <a:solidFill>
                            <a:srgbClr val="00B05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FDA-4330-AC1B-1FD55B44DC7B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EBCE7F2-CE48-418F-9639-428A0603E89B}" type="CELLRANGE">
                      <a:rPr lang="en-US"/>
                      <a:pPr>
                        <a:defRPr b="1"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FDA-4330-AC1B-1FD55B44DC7B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7CC9B1D-1236-4099-9F82-C19BD4708815}" type="CELLRANGE">
                      <a:rPr lang="en-US"/>
                      <a:pPr>
                        <a:defRPr b="1"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FDA-4330-AC1B-1FD55B44DC7B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00B05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4E1DF9-9B47-4413-860E-F4A0839BDBC5}" type="CELLRANGE">
                      <a:rPr lang="en-US"/>
                      <a:pPr>
                        <a:defRPr b="1">
                          <a:solidFill>
                            <a:srgbClr val="00B05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FDA-4330-AC1B-1FD55B44DC7B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00B05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D84923A-37ED-4D21-94BE-8E9630797775}" type="CELLRANGE">
                      <a:rPr lang="en-US"/>
                      <a:pPr>
                        <a:defRPr b="1">
                          <a:solidFill>
                            <a:srgbClr val="00B05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FDA-4330-AC1B-1FD55B44DC7B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00B05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2E61CA-1024-4DDF-8595-70A7EEFD2288}" type="CELLRANGE">
                      <a:rPr lang="en-US"/>
                      <a:pPr>
                        <a:defRPr b="1">
                          <a:solidFill>
                            <a:srgbClr val="00B05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FDA-4330-AC1B-1FD55B44DC7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FDA-4330-AC1B-1FD55B44DC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'Revenue Growth'!$G$3:$G$8</c:f>
                <c:numCache>
                  <c:formatCode>General</c:formatCode>
                  <c:ptCount val="6"/>
                  <c:pt idx="0">
                    <c:v>-35201.887999999977</c:v>
                  </c:pt>
                  <c:pt idx="1">
                    <c:v>0</c:v>
                  </c:pt>
                  <c:pt idx="2">
                    <c:v>0</c:v>
                  </c:pt>
                  <c:pt idx="3">
                    <c:v>-37257.678259199951</c:v>
                  </c:pt>
                  <c:pt idx="4">
                    <c:v>-48541.432246271987</c:v>
                  </c:pt>
                  <c:pt idx="5">
                    <c:v>-42231.046054256673</c:v>
                  </c:pt>
                </c:numCache>
              </c:numRef>
            </c:plus>
            <c:minus>
              <c:numRef>
                <c:f>'Revenue Growth'!$H$4:$H$5</c:f>
                <c:numCache>
                  <c:formatCode>General</c:formatCode>
                  <c:ptCount val="2"/>
                  <c:pt idx="0">
                    <c:v>-95045.097599999979</c:v>
                  </c:pt>
                  <c:pt idx="1">
                    <c:v>-114054.11712000001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'Revenue Growth'!$B$3:$B$9</c:f>
              <c:numCache>
                <c:formatCode>mmm\-yy</c:formatCode>
                <c:ptCount val="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</c:numCache>
            </c:numRef>
          </c:cat>
          <c:val>
            <c:numRef>
              <c:f>'Revenue Growth'!$D$3:$D$9</c:f>
              <c:numCache>
                <c:formatCode>#,##0_);\(#,##0\);\-\-_)</c:formatCode>
                <c:ptCount val="7"/>
                <c:pt idx="0">
                  <c:v>475225.48800000001</c:v>
                </c:pt>
                <c:pt idx="1">
                  <c:v>380180.39040000003</c:v>
                </c:pt>
                <c:pt idx="2">
                  <c:v>266126.27328000002</c:v>
                </c:pt>
                <c:pt idx="3">
                  <c:v>303383.95153919997</c:v>
                </c:pt>
                <c:pt idx="4">
                  <c:v>351925.38378547196</c:v>
                </c:pt>
                <c:pt idx="5">
                  <c:v>394156.42983972863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Growth'!$E$3:$E$8</c15:f>
                <c15:dlblRangeCache>
                  <c:ptCount val="6"/>
                  <c:pt idx="0">
                    <c:v>8.0%</c:v>
                  </c:pt>
                  <c:pt idx="1">
                    <c:v>-20.0%</c:v>
                  </c:pt>
                  <c:pt idx="2">
                    <c:v>-30.0%</c:v>
                  </c:pt>
                  <c:pt idx="3">
                    <c:v>14.0%</c:v>
                  </c:pt>
                  <c:pt idx="4">
                    <c:v>16.0%</c:v>
                  </c:pt>
                  <c:pt idx="5">
                    <c:v>12.0%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4FDA-4330-AC1B-1FD55B44D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68639704"/>
        <c:axId val="1068640064"/>
      </c:barChart>
      <c:dateAx>
        <c:axId val="1068639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640064"/>
        <c:crosses val="autoZero"/>
        <c:auto val="1"/>
        <c:lblOffset val="100"/>
        <c:baseTimeUnit val="months"/>
      </c:dateAx>
      <c:valAx>
        <c:axId val="1068640064"/>
        <c:scaling>
          <c:orientation val="minMax"/>
        </c:scaling>
        <c:delete val="0"/>
        <c:axPos val="l"/>
        <c:numFmt formatCode="#,##0_);\(#,##0\);\-\-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639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777569</xdr:colOff>
      <xdr:row>10</xdr:row>
      <xdr:rowOff>2198</xdr:rowOff>
    </xdr:from>
    <xdr:to>
      <xdr:col>7</xdr:col>
      <xdr:colOff>541276</xdr:colOff>
      <xdr:row>23</xdr:row>
      <xdr:rowOff>126023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49D9F-B7AD-40F0-A9D3-657A36849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tart-File-Excel-Charts_v2.xlsx" TargetMode="External"/><Relationship Id="rId1" Type="http://schemas.openxmlformats.org/officeDocument/2006/relationships/externalLinkPath" Target="file:///C:\Users\HP\Downloads\Start-File-Excel-Chart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Doughnut Chart"/>
      <sheetName val="Actuals vs Budget"/>
      <sheetName val="Waterfall"/>
      <sheetName val="Forecast"/>
      <sheetName val="Revenue Growth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44197</v>
          </cell>
          <cell r="C3">
            <v>440023.60000000003</v>
          </cell>
          <cell r="D3">
            <v>475225.48800000001</v>
          </cell>
          <cell r="E3">
            <v>7.9999999999999849E-2</v>
          </cell>
          <cell r="G3">
            <v>-35201.887999999977</v>
          </cell>
        </row>
        <row r="4">
          <cell r="B4">
            <v>44228</v>
          </cell>
          <cell r="C4">
            <v>475225.48800000001</v>
          </cell>
          <cell r="D4">
            <v>380180.39040000003</v>
          </cell>
          <cell r="E4">
            <v>-0.19999999999999996</v>
          </cell>
          <cell r="G4" t="str">
            <v/>
          </cell>
          <cell r="H4">
            <v>-95045.097599999979</v>
          </cell>
        </row>
        <row r="5">
          <cell r="B5">
            <v>44256</v>
          </cell>
          <cell r="C5">
            <v>380180.39040000003</v>
          </cell>
          <cell r="D5">
            <v>266126.27328000002</v>
          </cell>
          <cell r="E5">
            <v>-0.30000000000000004</v>
          </cell>
          <cell r="G5" t="str">
            <v/>
          </cell>
          <cell r="H5">
            <v>-114054.11712000001</v>
          </cell>
        </row>
        <row r="6">
          <cell r="B6">
            <v>44287</v>
          </cell>
          <cell r="C6">
            <v>266126.27328000002</v>
          </cell>
          <cell r="D6">
            <v>303383.95153919997</v>
          </cell>
          <cell r="E6">
            <v>0.1399999999999999</v>
          </cell>
          <cell r="G6">
            <v>-37257.678259199951</v>
          </cell>
        </row>
        <row r="7">
          <cell r="B7">
            <v>44317</v>
          </cell>
          <cell r="C7">
            <v>303383.95153919997</v>
          </cell>
          <cell r="D7">
            <v>351925.38378547196</v>
          </cell>
          <cell r="E7">
            <v>0.15999999999999992</v>
          </cell>
          <cell r="G7">
            <v>-48541.432246271987</v>
          </cell>
        </row>
        <row r="8">
          <cell r="B8">
            <v>44348</v>
          </cell>
          <cell r="C8">
            <v>351925.38378547196</v>
          </cell>
          <cell r="D8">
            <v>394156.42983972863</v>
          </cell>
          <cell r="E8">
            <v>0.12000000000000011</v>
          </cell>
          <cell r="G8">
            <v>-42231.046054256673</v>
          </cell>
        </row>
        <row r="9">
          <cell r="B9">
            <v>44378</v>
          </cell>
          <cell r="C9">
            <v>394156.42983972863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358D-E28A-4A8F-8916-E0039A01E5E8}">
  <dimension ref="B2:M11"/>
  <sheetViews>
    <sheetView showGridLines="0" tabSelected="1" topLeftCell="A7" zoomScale="104" zoomScaleNormal="125" workbookViewId="0">
      <selection activeCell="I21" sqref="I21"/>
    </sheetView>
  </sheetViews>
  <sheetFormatPr defaultColWidth="11.125" defaultRowHeight="15.75" x14ac:dyDescent="0.25"/>
  <cols>
    <col min="3" max="3" width="13" bestFit="1" customWidth="1"/>
    <col min="4" max="4" width="16.625" customWidth="1"/>
  </cols>
  <sheetData>
    <row r="2" spans="2:13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13" x14ac:dyDescent="0.25">
      <c r="B3" s="2">
        <v>44197</v>
      </c>
      <c r="C3" s="3">
        <v>440023.60000000003</v>
      </c>
      <c r="D3" s="3">
        <f>C4</f>
        <v>475225.48800000001</v>
      </c>
      <c r="E3" s="4">
        <f>D3/C3-1</f>
        <v>7.9999999999999849E-2</v>
      </c>
      <c r="F3" s="3">
        <f>D3-C3</f>
        <v>35201.887999999977</v>
      </c>
      <c r="G3" s="5">
        <f>IF(F3&gt;0,-F3,"")</f>
        <v>-35201.887999999977</v>
      </c>
      <c r="H3" s="5" t="str">
        <f>IF(F3&lt;0,F3,"")</f>
        <v/>
      </c>
    </row>
    <row r="4" spans="2:13" x14ac:dyDescent="0.25">
      <c r="B4" s="2">
        <v>44228</v>
      </c>
      <c r="C4" s="3">
        <v>475225.48800000001</v>
      </c>
      <c r="D4" s="3">
        <f t="shared" ref="D4:D7" si="0">C5</f>
        <v>380180.39040000003</v>
      </c>
      <c r="E4" s="4">
        <f t="shared" ref="E4:E8" si="1">D4/C4-1</f>
        <v>-0.19999999999999996</v>
      </c>
      <c r="F4" s="3">
        <f t="shared" ref="F4:F8" si="2">D4-C4</f>
        <v>-95045.097599999979</v>
      </c>
      <c r="G4" s="5" t="str">
        <f t="shared" ref="G4:G9" si="3">IF(F4&gt;0,-F4,"")</f>
        <v/>
      </c>
      <c r="H4" s="5">
        <f t="shared" ref="H4:H8" si="4">IF(F4&lt;0,F4,"")</f>
        <v>-95045.097599999979</v>
      </c>
    </row>
    <row r="5" spans="2:13" x14ac:dyDescent="0.25">
      <c r="B5" s="2">
        <v>44256</v>
      </c>
      <c r="C5" s="3">
        <v>380180.39040000003</v>
      </c>
      <c r="D5" s="3">
        <f t="shared" si="0"/>
        <v>266126.27328000002</v>
      </c>
      <c r="E5" s="4">
        <f t="shared" si="1"/>
        <v>-0.30000000000000004</v>
      </c>
      <c r="F5" s="3">
        <f t="shared" si="2"/>
        <v>-114054.11712000001</v>
      </c>
      <c r="G5" s="5" t="str">
        <f t="shared" si="3"/>
        <v/>
      </c>
      <c r="H5" s="5">
        <f t="shared" si="4"/>
        <v>-114054.11712000001</v>
      </c>
    </row>
    <row r="6" spans="2:13" x14ac:dyDescent="0.25">
      <c r="B6" s="2">
        <v>44287</v>
      </c>
      <c r="C6" s="3">
        <v>266126.27328000002</v>
      </c>
      <c r="D6" s="3">
        <f t="shared" si="0"/>
        <v>303383.95153919997</v>
      </c>
      <c r="E6" s="4">
        <f t="shared" si="1"/>
        <v>0.1399999999999999</v>
      </c>
      <c r="F6" s="3">
        <f t="shared" si="2"/>
        <v>37257.678259199951</v>
      </c>
      <c r="G6" s="5">
        <f t="shared" si="3"/>
        <v>-37257.678259199951</v>
      </c>
      <c r="H6" s="5" t="str">
        <f>IF(F6&lt;0,F6,"")</f>
        <v/>
      </c>
    </row>
    <row r="7" spans="2:13" x14ac:dyDescent="0.25">
      <c r="B7" s="2">
        <v>44317</v>
      </c>
      <c r="C7" s="3">
        <v>303383.95153919997</v>
      </c>
      <c r="D7" s="3">
        <f t="shared" si="0"/>
        <v>351925.38378547196</v>
      </c>
      <c r="E7" s="4">
        <f t="shared" si="1"/>
        <v>0.15999999999999992</v>
      </c>
      <c r="F7" s="3">
        <f t="shared" si="2"/>
        <v>48541.432246271987</v>
      </c>
      <c r="G7" s="5">
        <f t="shared" si="3"/>
        <v>-48541.432246271987</v>
      </c>
      <c r="H7" s="5" t="str">
        <f t="shared" si="4"/>
        <v/>
      </c>
    </row>
    <row r="8" spans="2:13" x14ac:dyDescent="0.25">
      <c r="B8" s="2">
        <v>44348</v>
      </c>
      <c r="C8" s="3">
        <v>351925.38378547196</v>
      </c>
      <c r="D8" s="3">
        <f>C9</f>
        <v>394156.42983972863</v>
      </c>
      <c r="E8" s="4">
        <f t="shared" si="1"/>
        <v>0.12000000000000011</v>
      </c>
      <c r="F8" s="3">
        <f t="shared" si="2"/>
        <v>42231.046054256673</v>
      </c>
      <c r="G8" s="5">
        <f t="shared" si="3"/>
        <v>-42231.046054256673</v>
      </c>
      <c r="H8" s="5" t="str">
        <f t="shared" si="4"/>
        <v/>
      </c>
    </row>
    <row r="9" spans="2:13" x14ac:dyDescent="0.25">
      <c r="B9" s="2">
        <v>44378</v>
      </c>
      <c r="C9" s="3">
        <v>394156.42983972863</v>
      </c>
      <c r="D9" s="3"/>
      <c r="E9" s="4"/>
      <c r="F9" s="3"/>
      <c r="G9" s="5" t="str">
        <f t="shared" si="3"/>
        <v/>
      </c>
    </row>
    <row r="11" spans="2:13" x14ac:dyDescent="0.25">
      <c r="M1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2026-03-06T17:48:48Z</dcterms:created>
  <dcterms:modified xsi:type="dcterms:W3CDTF">2026-03-06T17:49:17Z</dcterms:modified>
</cp:coreProperties>
</file>