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13_ncr:1_{4BA95E94-A3B7-488C-A0DF-1B4DCF944559}" xr6:coauthVersionLast="47" xr6:coauthVersionMax="47" xr10:uidLastSave="{00000000-0000-0000-0000-000000000000}"/>
  <bookViews>
    <workbookView xWindow="-120" yWindow="-120" windowWidth="20730" windowHeight="11160" xr2:uid="{05EEE2BC-D70D-4F41-B7F5-731A4E93437E}"/>
  </bookViews>
  <sheets>
    <sheet name="Solver" sheetId="1" r:id="rId1"/>
  </sheets>
  <definedNames>
    <definedName name="Google_Sheet_Link_1029291634_1927318588" hidden="1">solver_lhs3</definedName>
    <definedName name="Google_Sheet_Link_1036416693_805229083" hidden="1">solver_rhs2</definedName>
    <definedName name="Google_Sheet_Link_1278149530_1927318588" hidden="1">solver_rhs3</definedName>
    <definedName name="Google_Sheet_Link_1370533828_805229083" hidden="1">solver_opt</definedName>
    <definedName name="Google_Sheet_Link_1502608292_1927318588" hidden="1">solver_lhs1</definedName>
    <definedName name="Google_Sheet_Link_1729301410_805229083" hidden="1">#N/A</definedName>
    <definedName name="Google_Sheet_Link_1751574056_805229083" hidden="1">solver_lhs2</definedName>
    <definedName name="Google_Sheet_Link_1757188963_805229083" hidden="1">#N/A</definedName>
    <definedName name="Google_Sheet_Link_2050331336_805229083" hidden="1">#N/A</definedName>
    <definedName name="Google_Sheet_Link_2059175408_1927318588" hidden="1">solver_adj</definedName>
    <definedName name="Google_Sheet_Link_441969672_1927318588" hidden="1">solver_rhs1</definedName>
    <definedName name="Google_Sheet_Link_641043163_1927318588" hidden="1">solver_lhs4</definedName>
    <definedName name="Google_Sheet_Link_705027040_1927318588" hidden="1">#N/A</definedName>
    <definedName name="Google_Sheet_Link_7194795_1927318588" hidden="1">#N/A</definedName>
    <definedName name="Google_Sheet_Link_727385559_1927318588" hidden="1">solver_rhs4</definedName>
    <definedName name="Google_Sheet_Link_833730664_805229083" hidden="1">#N/A</definedName>
    <definedName name="solver_adj" localSheetId="0" hidden="1">Solver!$C$4:$C$6</definedName>
    <definedName name="solver_cvg" localSheetId="0" hidden="1">"""0,0001"""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0" localSheetId="0" hidden="1">Solver!$C$4</definedName>
    <definedName name="solver_lhs1" localSheetId="0" hidden="1">Solver!$C$4</definedName>
    <definedName name="solver_lhs2" localSheetId="0" hidden="1">Solver!$C$4</definedName>
    <definedName name="solver_lhs3" localSheetId="0" hidden="1">Solver!$C$5</definedName>
    <definedName name="solver_lhs4" localSheetId="0" hidden="1">Solver!$C$6</definedName>
    <definedName name="solver_mip" localSheetId="0" hidden="1">2147483647</definedName>
    <definedName name="solver_mni" localSheetId="0" hidden="1">30</definedName>
    <definedName name="solver_mrt" localSheetId="0" hidden="1">"""0,075"""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Solver!$C$18</definedName>
    <definedName name="solver_pre" localSheetId="0" hidden="1">"""0,000001"""</definedName>
    <definedName name="solver_rbv" localSheetId="0" hidden="1">1</definedName>
    <definedName name="solver_rel0" localSheetId="0" hidden="1">3</definedName>
    <definedName name="solver_rel1" localSheetId="0" hidden="1">1</definedName>
    <definedName name="solver_rel2" localSheetId="0" hidden="1">4</definedName>
    <definedName name="solver_rel3" localSheetId="0" hidden="1">1</definedName>
    <definedName name="solver_rel4" localSheetId="0" hidden="1">3</definedName>
    <definedName name="solver_rhs0" localSheetId="0" hidden="1">Solver!$C$11</definedName>
    <definedName name="solver_rhs1" localSheetId="0" hidden="1">Solver!$C$10</definedName>
    <definedName name="solver_rhs2" localSheetId="0" hidden="1">"integer"</definedName>
    <definedName name="solver_rhs3" localSheetId="0" hidden="1">Solver!$C$11</definedName>
    <definedName name="solver_rhs4" localSheetId="0" hidden="1">Solver!$C$12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1000000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6" i="1"/>
  <c r="C18" i="1" s="1"/>
  <c r="C15" i="1"/>
</calcChain>
</file>

<file path=xl/sharedStrings.xml><?xml version="1.0" encoding="utf-8"?>
<sst xmlns="http://schemas.openxmlformats.org/spreadsheetml/2006/main" count="17" uniqueCount="17">
  <si>
    <t>iPhone 14 Financials</t>
  </si>
  <si>
    <t>Assumptions</t>
  </si>
  <si>
    <t>Quantity Sold</t>
  </si>
  <si>
    <t>Price per Unit</t>
  </si>
  <si>
    <t>Variable Cost per Unit</t>
  </si>
  <si>
    <t>Fixed Cost</t>
  </si>
  <si>
    <t>Constraints</t>
  </si>
  <si>
    <t>Max. Capacity</t>
  </si>
  <si>
    <t>Max. Price per Unit</t>
  </si>
  <si>
    <t>Min. Variable Cost per Unit</t>
  </si>
  <si>
    <t>Income Statement</t>
  </si>
  <si>
    <t>Total Revenue</t>
  </si>
  <si>
    <t>Variable Costs</t>
  </si>
  <si>
    <t>Fixed Costs</t>
  </si>
  <si>
    <t>Profit</t>
  </si>
  <si>
    <t>NOTE</t>
  </si>
  <si>
    <t>The objecive was to determine the optimal quantity that will generate a profit of $1,000,000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</si>
</sst>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\-\-_)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432FF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93D68"/>
        <bgColor rgb="FF293D68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164" fontId="5" fillId="3" borderId="0" xfId="0" applyNumberFormat="1" applyFont="1" applyFill="1"/>
    <xf numFmtId="164" fontId="5" fillId="0" borderId="0" xfId="0" applyNumberFormat="1" applyFont="1"/>
    <xf numFmtId="164" fontId="4" fillId="0" borderId="0" xfId="0" applyNumberFormat="1" applyFont="1"/>
    <xf numFmtId="0" fontId="3" fillId="4" borderId="2" xfId="0" applyFont="1" applyFill="1" applyBorder="1" applyAlignment="1">
      <alignment horizontal="left"/>
    </xf>
    <xf numFmtId="164" fontId="3" fillId="4" borderId="2" xfId="0" applyNumberFormat="1" applyFont="1" applyFill="1" applyBorder="1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72A3-7DC7-4E3B-8291-BD5F3490E58B}">
  <dimension ref="A2:Z1000"/>
  <sheetViews>
    <sheetView showGridLines="0" tabSelected="1" workbookViewId="0">
      <selection activeCell="G16" sqref="G16"/>
    </sheetView>
  </sheetViews>
  <sheetFormatPr defaultColWidth="14.42578125" defaultRowHeight="15" customHeight="1" x14ac:dyDescent="0.25"/>
  <cols>
    <col min="1" max="1" width="11.42578125" customWidth="1"/>
    <col min="2" max="2" width="24.140625" customWidth="1"/>
    <col min="3" max="3" width="10.28515625" customWidth="1"/>
    <col min="4" max="26" width="11.42578125" customWidth="1"/>
  </cols>
  <sheetData>
    <row r="2" spans="1:26" x14ac:dyDescent="0.25">
      <c r="B2" s="8" t="s">
        <v>0</v>
      </c>
      <c r="C2" s="9"/>
    </row>
    <row r="3" spans="1:26" x14ac:dyDescent="0.25">
      <c r="B3" s="10" t="s">
        <v>1</v>
      </c>
      <c r="C3" s="11"/>
    </row>
    <row r="4" spans="1:26" x14ac:dyDescent="0.25">
      <c r="A4" s="1"/>
      <c r="B4" s="2" t="s">
        <v>2</v>
      </c>
      <c r="C4" s="3">
        <v>9000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2" t="s">
        <v>3</v>
      </c>
      <c r="C5" s="3">
        <v>1025.6666677779444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2" t="s">
        <v>4</v>
      </c>
      <c r="C6" s="3">
        <v>358.99999999999994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2" t="s">
        <v>5</v>
      </c>
      <c r="C7" s="4">
        <v>5000000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2"/>
      <c r="C8" s="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0" t="s">
        <v>6</v>
      </c>
      <c r="C9" s="1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2" t="s">
        <v>7</v>
      </c>
      <c r="C10" s="4">
        <v>9000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2" t="s">
        <v>8</v>
      </c>
      <c r="C11" s="4">
        <v>1099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2" t="s">
        <v>9</v>
      </c>
      <c r="C12" s="4">
        <v>359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2"/>
      <c r="C13" s="5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0" t="s">
        <v>10</v>
      </c>
      <c r="C14" s="1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2" t="s">
        <v>11</v>
      </c>
      <c r="C15" s="5">
        <f>C5*C4</f>
        <v>9231000.0100014992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2" t="s">
        <v>12</v>
      </c>
      <c r="C16" s="5">
        <f>-C6*C4</f>
        <v>-3230999.9999999995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2" t="s">
        <v>13</v>
      </c>
      <c r="C17" s="5">
        <f>-C7</f>
        <v>-5000000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6" t="s">
        <v>14</v>
      </c>
      <c r="C18" s="7">
        <f>SUM(C15:C17)</f>
        <v>1000000.0100014992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2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25">
      <c r="A20" s="12" t="s">
        <v>15</v>
      </c>
    </row>
    <row r="21" spans="1:26" ht="15.75" customHeight="1" x14ac:dyDescent="0.25">
      <c r="B21" s="2" t="s">
        <v>16</v>
      </c>
    </row>
    <row r="22" spans="1:26" ht="15.75" customHeight="1" x14ac:dyDescent="0.25"/>
    <row r="23" spans="1:26" ht="15.75" customHeight="1" x14ac:dyDescent="0.25"/>
    <row r="24" spans="1:26" ht="15.75" customHeight="1" x14ac:dyDescent="0.25"/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2:C2"/>
    <mergeCell ref="B3:C3"/>
    <mergeCell ref="B9:C9"/>
    <mergeCell ref="B14:C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2026-03-05T01:00:56Z</dcterms:created>
  <dcterms:modified xsi:type="dcterms:W3CDTF">2026-03-15T17:21:09Z</dcterms:modified>
</cp:coreProperties>
</file>